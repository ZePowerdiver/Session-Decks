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Engagements" sheetId="2" state="visible" r:id="rId4"/>
  </sheets>
  <definedNames>
    <definedName function="false" hidden="true" localSheetId="1" name="_xlnm._FilterDatabase" vbProcedure="false">Engagements!$A$1:$R$65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<sst xmlns="http://schemas.openxmlformats.org/spreadsheetml/2006/main" count="471" uniqueCount="157">
  <si>
    <t xml:space="preserve">DCE Copilot Training — Demo dataset (fictional)</t>
  </si>
  <si>
    <t xml:space="preserve">Purpose: practice file for Copilot in Excel and the Analyst agent.</t>
  </si>
  <si>
    <t xml:space="preserve">All clients, engagement leads, and figures are fictional and for training only.</t>
  </si>
  <si>
    <t xml:space="preserve">The 'Engagements' sheet is a Central Europe advisory engagement portfolio.</t>
  </si>
  <si>
    <t xml:space="preserve">Calculated columns (Margin %, Budget Variance %, Realisation %, Hours Variance %) use formulas.</t>
  </si>
  <si>
    <t xml:space="preserve">Standard blended rate assumption is on the Engagements sheet (cell R1/S1).</t>
  </si>
  <si>
    <t xml:space="preserve">Note: a few rows contain deliberately inconsistent formatting (mixed case, a missing</t>
  </si>
  <si>
    <t xml:space="preserve">end date) so you can demonstrate data clean-up. Several engagements are intentional</t>
  </si>
  <si>
    <t xml:space="preserve">outliers (high budget variance, negative margin, hours well over plan).</t>
  </si>
  <si>
    <t xml:space="preserve">Engagement Code</t>
  </si>
  <si>
    <t xml:space="preserve">Client</t>
  </si>
  <si>
    <t xml:space="preserve">Service Line</t>
  </si>
  <si>
    <t xml:space="preserve">Engagement Lead</t>
  </si>
  <si>
    <t xml:space="preserve">Region</t>
  </si>
  <si>
    <t xml:space="preserve">Start Date</t>
  </si>
  <si>
    <t xml:space="preserve">Original End Date</t>
  </si>
  <si>
    <t xml:space="preserve">Status</t>
  </si>
  <si>
    <t xml:space="preserve">Planned Hours</t>
  </si>
  <si>
    <t xml:space="preserve">Actual Hours</t>
  </si>
  <si>
    <t xml:space="preserve">Fees (EUR 000)</t>
  </si>
  <si>
    <t xml:space="preserve">Budget Cost (EUR 000)</t>
  </si>
  <si>
    <t xml:space="preserve">Actual Cost (EUR 000)</t>
  </si>
  <si>
    <t xml:space="preserve">Margin %</t>
  </si>
  <si>
    <t xml:space="preserve">Budget Variance %</t>
  </si>
  <si>
    <t xml:space="preserve">Hours Variance %</t>
  </si>
  <si>
    <t xml:space="preserve">Realisation %</t>
  </si>
  <si>
    <t xml:space="preserve">Status Note</t>
  </si>
  <si>
    <t xml:space="preserve">Std blended rate (EUR/h)</t>
  </si>
  <si>
    <t xml:space="preserve">CE-2026-1001</t>
  </si>
  <si>
    <t xml:space="preserve">Project Quartz</t>
  </si>
  <si>
    <t xml:space="preserve">Risk Advisory</t>
  </si>
  <si>
    <t xml:space="preserve">Lukas Weber</t>
  </si>
  <si>
    <t xml:space="preserve">Vienna</t>
  </si>
  <si>
    <t xml:space="preserve">On track</t>
  </si>
  <si>
    <t xml:space="preserve">Resourcing gap flagged for next month.</t>
  </si>
  <si>
    <t xml:space="preserve">CE-2026-1002</t>
  </si>
  <si>
    <t xml:space="preserve">Project Cobalt</t>
  </si>
  <si>
    <t xml:space="preserve">Financial Advisory</t>
  </si>
  <si>
    <t xml:space="preserve">Sofia Horvath</t>
  </si>
  <si>
    <t xml:space="preserve">Prague</t>
  </si>
  <si>
    <t xml:space="preserve">At risk</t>
  </si>
  <si>
    <t xml:space="preserve">Change request pending approval.</t>
  </si>
  <si>
    <t xml:space="preserve">CE-2026-1003</t>
  </si>
  <si>
    <t xml:space="preserve">Project Delta</t>
  </si>
  <si>
    <t xml:space="preserve">Audit &amp; Assurance</t>
  </si>
  <si>
    <t xml:space="preserve">Tomas Varga</t>
  </si>
  <si>
    <t xml:space="preserve">Zurich</t>
  </si>
  <si>
    <t xml:space="preserve">Delivered ahead of plan; reference call agreed.</t>
  </si>
  <si>
    <t xml:space="preserve">CE-2026-1004</t>
  </si>
  <si>
    <t xml:space="preserve">Project Falcon</t>
  </si>
  <si>
    <t xml:space="preserve">Tax &amp; Legal</t>
  </si>
  <si>
    <t xml:space="preserve">Elena Popescu</t>
  </si>
  <si>
    <t xml:space="preserve">Bratislava</t>
  </si>
  <si>
    <t xml:space="preserve">Delivered</t>
  </si>
  <si>
    <t xml:space="preserve">Budget pressure from extra review cycles.</t>
  </si>
  <si>
    <t xml:space="preserve">CE-2026-1005</t>
  </si>
  <si>
    <t xml:space="preserve">Project Granite</t>
  </si>
  <si>
    <t xml:space="preserve">Consulting</t>
  </si>
  <si>
    <t xml:space="preserve">JAKUB NOWAK</t>
  </si>
  <si>
    <t xml:space="preserve">Bucharest</t>
  </si>
  <si>
    <t xml:space="preserve">Key milestone met; partner readout next week.</t>
  </si>
  <si>
    <t xml:space="preserve">CE-2026-1006</t>
  </si>
  <si>
    <t xml:space="preserve">Project Harbor</t>
  </si>
  <si>
    <t xml:space="preserve">Klara Schmidt</t>
  </si>
  <si>
    <t xml:space="preserve">Budapest</t>
  </si>
  <si>
    <t xml:space="preserve">Dependency on client IT release.</t>
  </si>
  <si>
    <t xml:space="preserve">CE-2026-1007</t>
  </si>
  <si>
    <t xml:space="preserve">Project Indigo</t>
  </si>
  <si>
    <t xml:space="preserve">Andrei Ionescu</t>
  </si>
  <si>
    <t xml:space="preserve">Warsaw</t>
  </si>
  <si>
    <t xml:space="preserve">Scope stable; on plan.</t>
  </si>
  <si>
    <t xml:space="preserve">CE-2026-1008</t>
  </si>
  <si>
    <t xml:space="preserve">Project Juniper</t>
  </si>
  <si>
    <t xml:space="preserve">Maja Kovacevic</t>
  </si>
  <si>
    <t xml:space="preserve">Ljubljana</t>
  </si>
  <si>
    <t xml:space="preserve">at risk</t>
  </si>
  <si>
    <t xml:space="preserve">CE-2026-1009</t>
  </si>
  <si>
    <t xml:space="preserve">Project Kestrel</t>
  </si>
  <si>
    <t xml:space="preserve">Filip Urban</t>
  </si>
  <si>
    <t xml:space="preserve">Zagreb</t>
  </si>
  <si>
    <t xml:space="preserve">Escalated to lead partner.</t>
  </si>
  <si>
    <t xml:space="preserve">CE-2026-1010</t>
  </si>
  <si>
    <t xml:space="preserve">Project Larch</t>
  </si>
  <si>
    <t xml:space="preserve">Anna Kovac</t>
  </si>
  <si>
    <t xml:space="preserve">Client raised scope concerns on workstream 2.</t>
  </si>
  <si>
    <t xml:space="preserve">CE-2026-1011</t>
  </si>
  <si>
    <t xml:space="preserve">Project Maple</t>
  </si>
  <si>
    <t xml:space="preserve">Marek Dvorak</t>
  </si>
  <si>
    <t xml:space="preserve">Awaiting client data; timeline slipping.</t>
  </si>
  <si>
    <t xml:space="preserve">CE-2026-1012</t>
  </si>
  <si>
    <t xml:space="preserve">Project Atlas</t>
  </si>
  <si>
    <t xml:space="preserve">petra novak</t>
  </si>
  <si>
    <t xml:space="preserve">Strong client feedback at steering committee.</t>
  </si>
  <si>
    <t xml:space="preserve">CE-2026-1013</t>
  </si>
  <si>
    <t xml:space="preserve">Project Helix</t>
  </si>
  <si>
    <t xml:space="preserve">CE-2026-1014</t>
  </si>
  <si>
    <t xml:space="preserve">Project Meridian</t>
  </si>
  <si>
    <t xml:space="preserve">CE-2026-1015</t>
  </si>
  <si>
    <t xml:space="preserve">Project Vega</t>
  </si>
  <si>
    <t xml:space="preserve">CE-2026-1016</t>
  </si>
  <si>
    <t xml:space="preserve">Project Orion</t>
  </si>
  <si>
    <t xml:space="preserve">On hold</t>
  </si>
  <si>
    <t xml:space="preserve">CE-2026-1017</t>
  </si>
  <si>
    <t xml:space="preserve">Project Lyra</t>
  </si>
  <si>
    <t xml:space="preserve">Jakub Nowak</t>
  </si>
  <si>
    <t xml:space="preserve">CE-2026-1018</t>
  </si>
  <si>
    <t xml:space="preserve">Project Nova</t>
  </si>
  <si>
    <t xml:space="preserve">CE-2026-1019</t>
  </si>
  <si>
    <t xml:space="preserve">Project Aurora</t>
  </si>
  <si>
    <t xml:space="preserve">CE-2026-1020</t>
  </si>
  <si>
    <t xml:space="preserve">Project Pulsar</t>
  </si>
  <si>
    <t xml:space="preserve">CE-2026-1021</t>
  </si>
  <si>
    <t xml:space="preserve">CE-2026-1022</t>
  </si>
  <si>
    <t xml:space="preserve">CE-2026-1023</t>
  </si>
  <si>
    <t xml:space="preserve">CE-2026-1024</t>
  </si>
  <si>
    <t xml:space="preserve">Petra Novak</t>
  </si>
  <si>
    <t xml:space="preserve">CE-2026-1025</t>
  </si>
  <si>
    <t xml:space="preserve">CE-2026-1026</t>
  </si>
  <si>
    <t xml:space="preserve">CE-2026-1027</t>
  </si>
  <si>
    <t xml:space="preserve">CE-2026-1028</t>
  </si>
  <si>
    <t xml:space="preserve">CE-2026-1029</t>
  </si>
  <si>
    <t xml:space="preserve">CE-2026-1030</t>
  </si>
  <si>
    <t xml:space="preserve">CE-2026-1031</t>
  </si>
  <si>
    <t xml:space="preserve">CE-2026-1032</t>
  </si>
  <si>
    <t xml:space="preserve">CE-2026-1033</t>
  </si>
  <si>
    <t xml:space="preserve">CE-2026-1034</t>
  </si>
  <si>
    <t xml:space="preserve">CE-2026-1035</t>
  </si>
  <si>
    <t xml:space="preserve">CE-2026-1036</t>
  </si>
  <si>
    <t xml:space="preserve">CE-2026-1037</t>
  </si>
  <si>
    <t xml:space="preserve">CE-2026-1038</t>
  </si>
  <si>
    <t xml:space="preserve">CE-2026-1039</t>
  </si>
  <si>
    <t xml:space="preserve">CE-2026-1040</t>
  </si>
  <si>
    <t xml:space="preserve">CE-2026-1041</t>
  </si>
  <si>
    <t xml:space="preserve">CE-2026-1042</t>
  </si>
  <si>
    <t xml:space="preserve">CE-2026-1043</t>
  </si>
  <si>
    <t xml:space="preserve">CE-2026-1044</t>
  </si>
  <si>
    <t xml:space="preserve">CE-2026-1045</t>
  </si>
  <si>
    <t xml:space="preserve">CE-2026-1046</t>
  </si>
  <si>
    <t xml:space="preserve">CE-2026-1047</t>
  </si>
  <si>
    <t xml:space="preserve">CE-2026-1048</t>
  </si>
  <si>
    <t xml:space="preserve">CE-2026-1049</t>
  </si>
  <si>
    <t xml:space="preserve">CE-2026-1050</t>
  </si>
  <si>
    <t xml:space="preserve">CE-2026-1051</t>
  </si>
  <si>
    <t xml:space="preserve">On Track </t>
  </si>
  <si>
    <t xml:space="preserve">CE-2026-1052</t>
  </si>
  <si>
    <t xml:space="preserve">CE-2026-1053</t>
  </si>
  <si>
    <t xml:space="preserve">CE-2026-1054</t>
  </si>
  <si>
    <t xml:space="preserve">CE-2026-1055</t>
  </si>
  <si>
    <t xml:space="preserve">CE-2026-1056</t>
  </si>
  <si>
    <t xml:space="preserve">CE-2026-1057</t>
  </si>
  <si>
    <t xml:space="preserve">CE-2026-1058</t>
  </si>
  <si>
    <t xml:space="preserve">CE-2026-1059</t>
  </si>
  <si>
    <t xml:space="preserve">CE-2026-1060</t>
  </si>
  <si>
    <t xml:space="preserve">CE-2026-1061</t>
  </si>
  <si>
    <t xml:space="preserve">CE-2026-1062</t>
  </si>
  <si>
    <t xml:space="preserve">CE-2026-1063</t>
  </si>
  <si>
    <t xml:space="preserve">CE-2026-1064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</si>
</sst>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-mmm\-yyyy"/>
    <numFmt numFmtId="166" formatCode="#,##0.0"/>
    <numFmt numFmtId="167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B4D"/>
        <bgColor rgb="FF0033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B4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B4D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worksheets/sheet1.xml"/><Relationship Id="rId7" Type="http://schemas.openxmlformats.org/officeDocument/2006/relationships/customXml" Target="../customXml/item2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5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2" t="s">
        <v>6</v>
      </c>
    </row>
    <row r="11" customFormat="false" ht="15" hidden="false" customHeight="false" outlineLevel="0" collapsed="false">
      <c r="A11" s="2" t="s">
        <v>7</v>
      </c>
    </row>
    <row r="12" customFormat="false" ht="15" hidden="false" customHeight="false" outlineLevel="0" collapsed="false">
      <c r="A12" s="2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1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10" min="9" style="0" width="9"/>
    <col collapsed="false" customWidth="true" hidden="false" outlineLevel="0" max="11" min="11" style="0" width="12"/>
    <col collapsed="false" customWidth="true" hidden="false" outlineLevel="0" max="13" min="12" style="0" width="13"/>
    <col collapsed="false" customWidth="true" hidden="false" outlineLevel="0" max="14" min="14" style="0" width="9"/>
    <col collapsed="false" customWidth="true" hidden="false" outlineLevel="0" max="17" min="15" style="0" width="11"/>
    <col collapsed="false" customWidth="true" hidden="false" outlineLevel="0" max="18" min="18" style="0" width="34"/>
  </cols>
  <sheetData>
    <row r="1" customFormat="false" ht="35.05" hidden="false" customHeight="false" outlineLevel="0" collapsed="false">
      <c r="A1" s="3" t="s">
        <v>9</v>
      </c>
      <c r="B1" s="3" t="s">
        <v>10</v>
      </c>
      <c r="C1" s="3" t="s">
        <v>11</v>
      </c>
      <c r="D1" s="3" t="s">
        <v>12</v>
      </c>
      <c r="E1" s="3" t="s">
        <v>13</v>
      </c>
      <c r="F1" s="3" t="s">
        <v>14</v>
      </c>
      <c r="G1" s="3" t="s">
        <v>15</v>
      </c>
      <c r="H1" s="3" t="s">
        <v>16</v>
      </c>
      <c r="I1" s="3" t="s">
        <v>17</v>
      </c>
      <c r="J1" s="3" t="s">
        <v>18</v>
      </c>
      <c r="K1" s="3" t="s">
        <v>19</v>
      </c>
      <c r="L1" s="3" t="s">
        <v>20</v>
      </c>
      <c r="M1" s="3" t="s">
        <v>21</v>
      </c>
      <c r="N1" s="3" t="s">
        <v>22</v>
      </c>
      <c r="O1" s="3" t="s">
        <v>23</v>
      </c>
      <c r="P1" s="3" t="s">
        <v>24</v>
      </c>
      <c r="Q1" s="3" t="s">
        <v>25</v>
      </c>
      <c r="R1" s="3" t="s">
        <v>26</v>
      </c>
      <c r="U1" s="4" t="s">
        <v>27</v>
      </c>
      <c r="V1" s="5" t="n">
        <v>185</v>
      </c>
    </row>
    <row r="2" customFormat="false" ht="15" hidden="false" customHeight="false" outlineLevel="0" collapsed="false">
      <c r="A2" s="6" t="s">
        <v>28</v>
      </c>
      <c r="B2" s="6" t="s">
        <v>29</v>
      </c>
      <c r="C2" s="6" t="s">
        <v>30</v>
      </c>
      <c r="D2" s="6" t="s">
        <v>31</v>
      </c>
      <c r="E2" s="6" t="s">
        <v>32</v>
      </c>
      <c r="F2" s="7" t="n">
        <v>46034</v>
      </c>
      <c r="G2" s="7" t="n">
        <v>46166</v>
      </c>
      <c r="H2" s="6" t="s">
        <v>33</v>
      </c>
      <c r="I2" s="6" t="n">
        <v>1720</v>
      </c>
      <c r="J2" s="6" t="n">
        <v>1883</v>
      </c>
      <c r="K2" s="8" t="n">
        <v>337.3</v>
      </c>
      <c r="L2" s="8" t="n">
        <v>226</v>
      </c>
      <c r="M2" s="8" t="n">
        <v>228.3</v>
      </c>
      <c r="N2" s="9" t="n">
        <f aca="false">(K2-M2)/K2</f>
        <v>0.32315446190335</v>
      </c>
      <c r="O2" s="9" t="n">
        <f aca="false">(M2-L2)/L2</f>
        <v>0.0101769911504425</v>
      </c>
      <c r="P2" s="9" t="n">
        <f aca="false">(J2-I2)/I2</f>
        <v>0.0947674418604651</v>
      </c>
      <c r="Q2" s="9" t="n">
        <f aca="false">K2/(J2*$V$1/1000)</f>
        <v>0.968265131833905</v>
      </c>
      <c r="R2" s="10" t="s">
        <v>34</v>
      </c>
    </row>
    <row r="3" customFormat="false" ht="15" hidden="false" customHeight="false" outlineLevel="0" collapsed="false">
      <c r="A3" s="6" t="s">
        <v>35</v>
      </c>
      <c r="B3" s="6" t="s">
        <v>36</v>
      </c>
      <c r="C3" s="6" t="s">
        <v>37</v>
      </c>
      <c r="D3" s="6" t="s">
        <v>38</v>
      </c>
      <c r="E3" s="6" t="s">
        <v>39</v>
      </c>
      <c r="F3" s="7" t="n">
        <v>46035</v>
      </c>
      <c r="G3" s="7" t="n">
        <v>46168</v>
      </c>
      <c r="H3" s="6" t="s">
        <v>40</v>
      </c>
      <c r="I3" s="6" t="n">
        <v>1760</v>
      </c>
      <c r="J3" s="6" t="n">
        <v>1584</v>
      </c>
      <c r="K3" s="8" t="n">
        <v>348.4</v>
      </c>
      <c r="L3" s="8" t="n">
        <v>236.9</v>
      </c>
      <c r="M3" s="8" t="n">
        <v>241.6</v>
      </c>
      <c r="N3" s="9" t="n">
        <f aca="false">(K3-M3)/K3</f>
        <v>0.30654420206659</v>
      </c>
      <c r="O3" s="9" t="n">
        <f aca="false">(M3-L3)/L3</f>
        <v>0.0198395947657239</v>
      </c>
      <c r="P3" s="9" t="n">
        <f aca="false">(J3-I3)/I3</f>
        <v>-0.1</v>
      </c>
      <c r="Q3" s="9" t="n">
        <f aca="false">K3/(J3*$V$1/1000)</f>
        <v>1.18891618891619</v>
      </c>
      <c r="R3" s="10" t="s">
        <v>41</v>
      </c>
    </row>
    <row r="4" customFormat="false" ht="23.85" hidden="false" customHeight="false" outlineLevel="0" collapsed="false">
      <c r="A4" s="6" t="s">
        <v>42</v>
      </c>
      <c r="B4" s="6" t="s">
        <v>43</v>
      </c>
      <c r="C4" s="6" t="s">
        <v>44</v>
      </c>
      <c r="D4" s="6" t="s">
        <v>45</v>
      </c>
      <c r="E4" s="6" t="s">
        <v>46</v>
      </c>
      <c r="F4" s="7" t="n">
        <v>46036</v>
      </c>
      <c r="G4" s="7" t="n">
        <v>46170</v>
      </c>
      <c r="H4" s="6" t="s">
        <v>33</v>
      </c>
      <c r="I4" s="6" t="n">
        <v>1800</v>
      </c>
      <c r="J4" s="6" t="n">
        <v>2169</v>
      </c>
      <c r="K4" s="8" t="n">
        <v>359.6</v>
      </c>
      <c r="L4" s="8" t="n">
        <v>248.1</v>
      </c>
      <c r="M4" s="8" t="n">
        <v>255.5</v>
      </c>
      <c r="N4" s="9" t="n">
        <f aca="false">(K4-M4)/K4</f>
        <v>0.289488320355951</v>
      </c>
      <c r="O4" s="9" t="n">
        <f aca="false">(M4-L4)/L4</f>
        <v>0.0298266827891979</v>
      </c>
      <c r="P4" s="9" t="n">
        <f aca="false">(J4-I4)/I4</f>
        <v>0.205</v>
      </c>
      <c r="Q4" s="9" t="n">
        <f aca="false">K4/(J4*$V$1/1000)</f>
        <v>0.896165875418988</v>
      </c>
      <c r="R4" s="10" t="s">
        <v>47</v>
      </c>
    </row>
    <row r="5" customFormat="false" ht="23.85" hidden="false" customHeight="false" outlineLevel="0" collapsed="false">
      <c r="A5" s="6" t="s">
        <v>48</v>
      </c>
      <c r="B5" s="6" t="s">
        <v>49</v>
      </c>
      <c r="C5" s="6" t="s">
        <v>50</v>
      </c>
      <c r="D5" s="6" t="s">
        <v>51</v>
      </c>
      <c r="E5" s="6" t="s">
        <v>52</v>
      </c>
      <c r="F5" s="7" t="n">
        <v>46037</v>
      </c>
      <c r="G5" s="7" t="n">
        <v>46172</v>
      </c>
      <c r="H5" s="6" t="s">
        <v>53</v>
      </c>
      <c r="I5" s="6" t="n">
        <v>1840</v>
      </c>
      <c r="J5" s="6" t="n">
        <v>1858</v>
      </c>
      <c r="K5" s="8" t="n">
        <v>371</v>
      </c>
      <c r="L5" s="8" t="n">
        <v>259.7</v>
      </c>
      <c r="M5" s="8" t="n">
        <v>270.1</v>
      </c>
      <c r="N5" s="9" t="n">
        <f aca="false">(K5-M5)/K5</f>
        <v>0.271967654986523</v>
      </c>
      <c r="O5" s="9" t="n">
        <f aca="false">(M5-L5)/L5</f>
        <v>0.0400462071621103</v>
      </c>
      <c r="P5" s="9" t="n">
        <f aca="false">(J5-I5)/I5</f>
        <v>0.00978260869565218</v>
      </c>
      <c r="Q5" s="9" t="n">
        <f aca="false">K5/(J5*$V$1/1000)</f>
        <v>1.079335524976</v>
      </c>
      <c r="R5" s="10" t="s">
        <v>54</v>
      </c>
    </row>
    <row r="6" customFormat="false" ht="23.85" hidden="false" customHeight="false" outlineLevel="0" collapsed="false">
      <c r="A6" s="6" t="s">
        <v>55</v>
      </c>
      <c r="B6" s="6" t="s">
        <v>56</v>
      </c>
      <c r="C6" s="6" t="s">
        <v>57</v>
      </c>
      <c r="D6" s="6" t="s">
        <v>58</v>
      </c>
      <c r="E6" s="6" t="s">
        <v>59</v>
      </c>
      <c r="F6" s="7" t="n">
        <v>46038</v>
      </c>
      <c r="G6" s="7" t="n">
        <v>46174</v>
      </c>
      <c r="H6" s="6" t="s">
        <v>33</v>
      </c>
      <c r="I6" s="6" t="n">
        <v>1880</v>
      </c>
      <c r="J6" s="6" t="n">
        <v>2472</v>
      </c>
      <c r="K6" s="8" t="n">
        <v>382.6</v>
      </c>
      <c r="L6" s="8" t="n">
        <v>271.6</v>
      </c>
      <c r="M6" s="8" t="n">
        <v>285.2</v>
      </c>
      <c r="N6" s="9" t="n">
        <f aca="false">(K6-M6)/K6</f>
        <v>0.254573967590173</v>
      </c>
      <c r="O6" s="9" t="n">
        <f aca="false">(M6-L6)/L6</f>
        <v>0.0500736377025036</v>
      </c>
      <c r="P6" s="9" t="n">
        <f aca="false">(J6-I6)/I6</f>
        <v>0.314893617021277</v>
      </c>
      <c r="Q6" s="9" t="n">
        <f aca="false">K6/(J6*$V$1/1000)</f>
        <v>0.836613312341468</v>
      </c>
      <c r="R6" s="10" t="s">
        <v>60</v>
      </c>
    </row>
    <row r="7" customFormat="false" ht="15" hidden="false" customHeight="false" outlineLevel="0" collapsed="false">
      <c r="A7" s="6" t="s">
        <v>61</v>
      </c>
      <c r="B7" s="6" t="s">
        <v>62</v>
      </c>
      <c r="C7" s="6" t="s">
        <v>30</v>
      </c>
      <c r="D7" s="6" t="s">
        <v>63</v>
      </c>
      <c r="E7" s="6" t="s">
        <v>64</v>
      </c>
      <c r="F7" s="7" t="n">
        <v>46039</v>
      </c>
      <c r="G7" s="7" t="n">
        <v>46176</v>
      </c>
      <c r="H7" s="6" t="s">
        <v>40</v>
      </c>
      <c r="I7" s="6" t="n">
        <v>1920</v>
      </c>
      <c r="J7" s="6" t="n">
        <v>2150</v>
      </c>
      <c r="K7" s="8" t="n">
        <v>394.3</v>
      </c>
      <c r="L7" s="8" t="n">
        <v>283.9</v>
      </c>
      <c r="M7" s="8" t="n">
        <v>300.9</v>
      </c>
      <c r="N7" s="9" t="n">
        <f aca="false">(K7-M7)/K7</f>
        <v>0.236875475526249</v>
      </c>
      <c r="O7" s="9" t="n">
        <f aca="false">(M7-L7)/L7</f>
        <v>0.0598802395209581</v>
      </c>
      <c r="P7" s="9" t="n">
        <f aca="false">(J7-I7)/I7</f>
        <v>0.119791666666667</v>
      </c>
      <c r="Q7" s="9" t="n">
        <f aca="false">K7/(J7*$V$1/1000)</f>
        <v>0.991326209930861</v>
      </c>
      <c r="R7" s="10" t="s">
        <v>65</v>
      </c>
    </row>
    <row r="8" customFormat="false" ht="15" hidden="false" customHeight="false" outlineLevel="0" collapsed="false">
      <c r="A8" s="6" t="s">
        <v>66</v>
      </c>
      <c r="B8" s="6" t="s">
        <v>67</v>
      </c>
      <c r="C8" s="6" t="s">
        <v>37</v>
      </c>
      <c r="D8" s="6" t="s">
        <v>68</v>
      </c>
      <c r="E8" s="6" t="s">
        <v>69</v>
      </c>
      <c r="F8" s="7" t="n">
        <v>46040</v>
      </c>
      <c r="G8" s="7" t="n">
        <v>46178</v>
      </c>
      <c r="H8" s="6" t="s">
        <v>53</v>
      </c>
      <c r="I8" s="6" t="n">
        <v>1960</v>
      </c>
      <c r="J8" s="6" t="n">
        <v>1813</v>
      </c>
      <c r="K8" s="8" t="n">
        <v>406.1</v>
      </c>
      <c r="L8" s="8" t="n">
        <v>296.5</v>
      </c>
      <c r="M8" s="8" t="n">
        <v>317.3</v>
      </c>
      <c r="N8" s="9" t="n">
        <f aca="false">(K8-M8)/K8</f>
        <v>0.218665353361241</v>
      </c>
      <c r="O8" s="9" t="n">
        <f aca="false">(M8-L8)/L8</f>
        <v>0.0701517706576729</v>
      </c>
      <c r="P8" s="9" t="n">
        <f aca="false">(J8-I8)/I8</f>
        <v>-0.075</v>
      </c>
      <c r="Q8" s="9" t="n">
        <f aca="false">K8/(J8*$V$1/1000)</f>
        <v>1.21077503316886</v>
      </c>
      <c r="R8" s="10" t="s">
        <v>70</v>
      </c>
    </row>
    <row r="9" customFormat="false" ht="15" hidden="false" customHeight="false" outlineLevel="0" collapsed="false">
      <c r="A9" s="6" t="s">
        <v>71</v>
      </c>
      <c r="B9" s="6" t="s">
        <v>72</v>
      </c>
      <c r="C9" s="6" t="s">
        <v>44</v>
      </c>
      <c r="D9" s="6" t="s">
        <v>73</v>
      </c>
      <c r="E9" s="6" t="s">
        <v>74</v>
      </c>
      <c r="F9" s="7" t="n">
        <v>46041</v>
      </c>
      <c r="G9" s="7" t="n">
        <v>46180</v>
      </c>
      <c r="H9" s="6" t="s">
        <v>75</v>
      </c>
      <c r="I9" s="6" t="n">
        <v>2000</v>
      </c>
      <c r="J9" s="6" t="n">
        <v>2460</v>
      </c>
      <c r="K9" s="8" t="n">
        <v>418.1</v>
      </c>
      <c r="L9" s="8" t="n">
        <v>309.4</v>
      </c>
      <c r="M9" s="8" t="n">
        <v>334.2</v>
      </c>
      <c r="N9" s="9" t="n">
        <f aca="false">(K9-M9)/K9</f>
        <v>0.200669696244918</v>
      </c>
      <c r="O9" s="9" t="n">
        <f aca="false">(M9-L9)/L9</f>
        <v>0.0801551389786684</v>
      </c>
      <c r="P9" s="9" t="n">
        <f aca="false">(J9-I9)/I9</f>
        <v>0.23</v>
      </c>
      <c r="Q9" s="9" t="n">
        <f aca="false">K9/(J9*$V$1/1000)</f>
        <v>0.91869918699187</v>
      </c>
      <c r="R9" s="10"/>
    </row>
    <row r="10" customFormat="false" ht="15" hidden="false" customHeight="false" outlineLevel="0" collapsed="false">
      <c r="A10" s="6" t="s">
        <v>76</v>
      </c>
      <c r="B10" s="6" t="s">
        <v>77</v>
      </c>
      <c r="C10" s="6" t="s">
        <v>50</v>
      </c>
      <c r="D10" s="6" t="s">
        <v>78</v>
      </c>
      <c r="E10" s="6" t="s">
        <v>79</v>
      </c>
      <c r="F10" s="7" t="n">
        <v>46042</v>
      </c>
      <c r="G10" s="7" t="n">
        <v>46182</v>
      </c>
      <c r="H10" s="6" t="s">
        <v>33</v>
      </c>
      <c r="I10" s="6" t="n">
        <v>2040</v>
      </c>
      <c r="J10" s="6" t="n">
        <v>2111</v>
      </c>
      <c r="K10" s="8" t="n">
        <v>430.2</v>
      </c>
      <c r="L10" s="8" t="n">
        <v>322.6</v>
      </c>
      <c r="M10" s="8" t="n">
        <v>351.6</v>
      </c>
      <c r="N10" s="9" t="n">
        <f aca="false">(K10-M10)/K10</f>
        <v>0.182705718270572</v>
      </c>
      <c r="O10" s="9" t="n">
        <f aca="false">(M10-L10)/L10</f>
        <v>0.0898946063236206</v>
      </c>
      <c r="P10" s="9" t="n">
        <f aca="false">(J10-I10)/I10</f>
        <v>0.0348039215686275</v>
      </c>
      <c r="Q10" s="9" t="n">
        <f aca="false">K10/(J10*$V$1/1000)</f>
        <v>1.1015658007605</v>
      </c>
      <c r="R10" s="10" t="s">
        <v>80</v>
      </c>
    </row>
    <row r="11" customFormat="false" ht="23.85" hidden="false" customHeight="false" outlineLevel="0" collapsed="false">
      <c r="A11" s="6" t="s">
        <v>81</v>
      </c>
      <c r="B11" s="6" t="s">
        <v>82</v>
      </c>
      <c r="C11" s="6" t="s">
        <v>57</v>
      </c>
      <c r="D11" s="6" t="s">
        <v>83</v>
      </c>
      <c r="E11" s="6" t="s">
        <v>32</v>
      </c>
      <c r="F11" s="7" t="n">
        <v>46043</v>
      </c>
      <c r="G11" s="7" t="n">
        <v>46184</v>
      </c>
      <c r="H11" s="6" t="s">
        <v>40</v>
      </c>
      <c r="I11" s="6" t="n">
        <v>2080</v>
      </c>
      <c r="J11" s="6" t="n">
        <v>2787</v>
      </c>
      <c r="K11" s="8" t="n">
        <v>327.1</v>
      </c>
      <c r="L11" s="8" t="n">
        <v>248.6</v>
      </c>
      <c r="M11" s="8" t="n">
        <v>273.5</v>
      </c>
      <c r="N11" s="9" t="n">
        <f aca="false">(K11-M11)/K11</f>
        <v>0.163864261693672</v>
      </c>
      <c r="O11" s="9" t="n">
        <f aca="false">(M11-L11)/L11</f>
        <v>0.100160901045857</v>
      </c>
      <c r="P11" s="9" t="n">
        <f aca="false">(J11-I11)/I11</f>
        <v>0.339903846153846</v>
      </c>
      <c r="Q11" s="9" t="n">
        <f aca="false">K11/(J11*$V$1/1000)</f>
        <v>0.634412668858309</v>
      </c>
      <c r="R11" s="10" t="s">
        <v>84</v>
      </c>
    </row>
    <row r="12" customFormat="false" ht="15" hidden="false" customHeight="false" outlineLevel="0" collapsed="false">
      <c r="A12" s="6" t="s">
        <v>85</v>
      </c>
      <c r="B12" s="6" t="s">
        <v>86</v>
      </c>
      <c r="C12" s="6" t="s">
        <v>30</v>
      </c>
      <c r="D12" s="6" t="s">
        <v>87</v>
      </c>
      <c r="E12" s="6" t="s">
        <v>39</v>
      </c>
      <c r="F12" s="7" t="n">
        <v>46044</v>
      </c>
      <c r="G12" s="7" t="n">
        <v>46186</v>
      </c>
      <c r="H12" s="6" t="s">
        <v>33</v>
      </c>
      <c r="I12" s="6" t="n">
        <v>2120</v>
      </c>
      <c r="J12" s="6" t="n">
        <v>2427</v>
      </c>
      <c r="K12" s="8" t="n">
        <v>337.3</v>
      </c>
      <c r="L12" s="8" t="n">
        <v>259.7</v>
      </c>
      <c r="M12" s="8" t="n">
        <v>288.3</v>
      </c>
      <c r="N12" s="9" t="n">
        <f aca="false">(K12-M12)/K12</f>
        <v>0.145271271864809</v>
      </c>
      <c r="O12" s="9" t="n">
        <f aca="false">(M12-L12)/L12</f>
        <v>0.110127069695803</v>
      </c>
      <c r="P12" s="9" t="n">
        <f aca="false">(J12-I12)/I12</f>
        <v>0.144811320754717</v>
      </c>
      <c r="Q12" s="9" t="n">
        <f aca="false">K12/(J12*$V$1/1000)</f>
        <v>0.751233309947772</v>
      </c>
      <c r="R12" s="10" t="s">
        <v>88</v>
      </c>
    </row>
    <row r="13" customFormat="false" ht="23.85" hidden="false" customHeight="false" outlineLevel="0" collapsed="false">
      <c r="A13" s="6" t="s">
        <v>89</v>
      </c>
      <c r="B13" s="6" t="s">
        <v>90</v>
      </c>
      <c r="C13" s="6" t="s">
        <v>37</v>
      </c>
      <c r="D13" s="6" t="s">
        <v>91</v>
      </c>
      <c r="E13" s="6" t="s">
        <v>46</v>
      </c>
      <c r="F13" s="7" t="n">
        <v>46045</v>
      </c>
      <c r="G13" s="7" t="n">
        <v>46188</v>
      </c>
      <c r="H13" s="6" t="s">
        <v>53</v>
      </c>
      <c r="I13" s="6" t="n">
        <v>2160</v>
      </c>
      <c r="J13" s="6" t="n">
        <v>2052</v>
      </c>
      <c r="K13" s="8" t="n">
        <v>347.7</v>
      </c>
      <c r="L13" s="8" t="n">
        <v>215.6</v>
      </c>
      <c r="M13" s="8" t="n">
        <v>241.5</v>
      </c>
      <c r="N13" s="9" t="n">
        <f aca="false">(K13-M13)/K13</f>
        <v>0.305435720448663</v>
      </c>
      <c r="O13" s="9" t="n">
        <f aca="false">(M13-L13)/L13</f>
        <v>0.12012987012987</v>
      </c>
      <c r="P13" s="9" t="n">
        <f aca="false">(J13-I13)/I13</f>
        <v>-0.05</v>
      </c>
      <c r="Q13" s="9" t="n">
        <f aca="false">K13/(J13*$V$1/1000)</f>
        <v>0.915915915915916</v>
      </c>
      <c r="R13" s="10" t="s">
        <v>92</v>
      </c>
    </row>
    <row r="14" customFormat="false" ht="15" hidden="false" customHeight="false" outlineLevel="0" collapsed="false">
      <c r="A14" s="6" t="s">
        <v>93</v>
      </c>
      <c r="B14" s="6" t="s">
        <v>94</v>
      </c>
      <c r="C14" s="6" t="s">
        <v>44</v>
      </c>
      <c r="D14" s="6" t="s">
        <v>31</v>
      </c>
      <c r="E14" s="6" t="s">
        <v>52</v>
      </c>
      <c r="F14" s="7" t="n">
        <v>46046</v>
      </c>
      <c r="G14" s="7" t="n">
        <v>46190</v>
      </c>
      <c r="H14" s="6" t="s">
        <v>33</v>
      </c>
      <c r="I14" s="6" t="n">
        <v>2200</v>
      </c>
      <c r="J14" s="6" t="n">
        <v>2760</v>
      </c>
      <c r="K14" s="8" t="n">
        <v>358.2</v>
      </c>
      <c r="L14" s="8" t="n">
        <v>225.7</v>
      </c>
      <c r="M14" s="8" t="n">
        <v>255</v>
      </c>
      <c r="N14" s="9" t="n">
        <f aca="false">(K14-M14)/K14</f>
        <v>0.288107202680067</v>
      </c>
      <c r="O14" s="9" t="n">
        <f aca="false">(M14-L14)/L14</f>
        <v>0.129818342933097</v>
      </c>
      <c r="P14" s="9" t="n">
        <f aca="false">(J14-I14)/I14</f>
        <v>0.254545454545455</v>
      </c>
      <c r="Q14" s="9" t="n">
        <f aca="false">K14/(J14*$V$1/1000)</f>
        <v>0.701527614571093</v>
      </c>
      <c r="R14" s="10" t="s">
        <v>34</v>
      </c>
    </row>
    <row r="15" customFormat="false" ht="15" hidden="false" customHeight="false" outlineLevel="0" collapsed="false">
      <c r="A15" s="6" t="s">
        <v>95</v>
      </c>
      <c r="B15" s="6" t="s">
        <v>96</v>
      </c>
      <c r="C15" s="6" t="s">
        <v>50</v>
      </c>
      <c r="D15" s="6" t="s">
        <v>38</v>
      </c>
      <c r="E15" s="6" t="s">
        <v>59</v>
      </c>
      <c r="F15" s="7" t="n">
        <v>46047</v>
      </c>
      <c r="G15" s="7" t="n">
        <v>46192</v>
      </c>
      <c r="H15" s="6" t="s">
        <v>40</v>
      </c>
      <c r="I15" s="6" t="n">
        <v>2240</v>
      </c>
      <c r="J15" s="6" t="n">
        <v>2374</v>
      </c>
      <c r="K15" s="8" t="n">
        <v>368.8</v>
      </c>
      <c r="L15" s="8" t="n">
        <v>236</v>
      </c>
      <c r="M15" s="8" t="n">
        <v>269</v>
      </c>
      <c r="N15" s="9" t="n">
        <f aca="false">(K15-M15)/K15</f>
        <v>0.27060737527115</v>
      </c>
      <c r="O15" s="9" t="n">
        <f aca="false">(M15-L15)/L15</f>
        <v>0.139830508474576</v>
      </c>
      <c r="P15" s="9" t="n">
        <f aca="false">(J15-I15)/I15</f>
        <v>0.0598214285714286</v>
      </c>
      <c r="Q15" s="9" t="n">
        <f aca="false">K15/(J15*$V$1/1000)</f>
        <v>0.839727680502744</v>
      </c>
      <c r="R15" s="10" t="s">
        <v>41</v>
      </c>
    </row>
    <row r="16" customFormat="false" ht="23.85" hidden="false" customHeight="false" outlineLevel="0" collapsed="false">
      <c r="A16" s="6" t="s">
        <v>97</v>
      </c>
      <c r="B16" s="6" t="s">
        <v>98</v>
      </c>
      <c r="C16" s="6" t="s">
        <v>57</v>
      </c>
      <c r="D16" s="6" t="s">
        <v>45</v>
      </c>
      <c r="E16" s="6" t="s">
        <v>64</v>
      </c>
      <c r="F16" s="7" t="n">
        <v>46048</v>
      </c>
      <c r="G16" s="7" t="n">
        <v>46194</v>
      </c>
      <c r="H16" s="6" t="s">
        <v>53</v>
      </c>
      <c r="I16" s="6" t="n">
        <v>2280</v>
      </c>
      <c r="J16" s="6" t="n">
        <v>3112</v>
      </c>
      <c r="K16" s="8" t="n">
        <v>379.6</v>
      </c>
      <c r="L16" s="8" t="n">
        <v>246.7</v>
      </c>
      <c r="M16" s="8" t="n">
        <v>283.7</v>
      </c>
      <c r="N16" s="9" t="n">
        <f aca="false">(K16-M16)/K16</f>
        <v>0.252634351949421</v>
      </c>
      <c r="O16" s="9" t="n">
        <f aca="false">(M16-L16)/L16</f>
        <v>0.149979732468585</v>
      </c>
      <c r="P16" s="9" t="n">
        <f aca="false">(J16-I16)/I16</f>
        <v>0.364912280701754</v>
      </c>
      <c r="Q16" s="9" t="n">
        <f aca="false">K16/(J16*$V$1/1000)</f>
        <v>0.659348294309734</v>
      </c>
      <c r="R16" s="10" t="s">
        <v>47</v>
      </c>
    </row>
    <row r="17" customFormat="false" ht="23.85" hidden="false" customHeight="false" outlineLevel="0" collapsed="false">
      <c r="A17" s="6" t="s">
        <v>99</v>
      </c>
      <c r="B17" s="6" t="s">
        <v>100</v>
      </c>
      <c r="C17" s="6" t="s">
        <v>30</v>
      </c>
      <c r="D17" s="6" t="s">
        <v>51</v>
      </c>
      <c r="E17" s="6" t="s">
        <v>69</v>
      </c>
      <c r="F17" s="7" t="n">
        <v>46049</v>
      </c>
      <c r="G17" s="7" t="n">
        <v>46196</v>
      </c>
      <c r="H17" s="6" t="s">
        <v>101</v>
      </c>
      <c r="I17" s="6" t="n">
        <v>2320</v>
      </c>
      <c r="J17" s="6" t="n">
        <v>2714</v>
      </c>
      <c r="K17" s="8" t="n">
        <v>390.6</v>
      </c>
      <c r="L17" s="8" t="n">
        <v>257.8</v>
      </c>
      <c r="M17" s="8" t="n">
        <v>299</v>
      </c>
      <c r="N17" s="9" t="n">
        <f aca="false">(K17-M17)/K17</f>
        <v>0.234511008704557</v>
      </c>
      <c r="O17" s="9" t="n">
        <f aca="false">(M17-L17)/L17</f>
        <v>0.159813809154383</v>
      </c>
      <c r="P17" s="9" t="n">
        <f aca="false">(J17-I17)/I17</f>
        <v>0.169827586206897</v>
      </c>
      <c r="Q17" s="9" t="n">
        <f aca="false">K17/(J17*$V$1/1000)</f>
        <v>0.777948176621721</v>
      </c>
      <c r="R17" s="10" t="s">
        <v>54</v>
      </c>
    </row>
    <row r="18" customFormat="false" ht="23.85" hidden="false" customHeight="false" outlineLevel="0" collapsed="false">
      <c r="A18" s="6" t="s">
        <v>102</v>
      </c>
      <c r="B18" s="6" t="s">
        <v>103</v>
      </c>
      <c r="C18" s="6" t="s">
        <v>37</v>
      </c>
      <c r="D18" s="6" t="s">
        <v>104</v>
      </c>
      <c r="E18" s="6" t="s">
        <v>74</v>
      </c>
      <c r="F18" s="7" t="n">
        <v>46050</v>
      </c>
      <c r="G18" s="7" t="n">
        <v>46198</v>
      </c>
      <c r="H18" s="6" t="s">
        <v>33</v>
      </c>
      <c r="I18" s="6" t="n">
        <v>2360</v>
      </c>
      <c r="J18" s="6" t="n">
        <v>2301</v>
      </c>
      <c r="K18" s="8" t="n">
        <v>401.7</v>
      </c>
      <c r="L18" s="8" t="n">
        <v>269.1</v>
      </c>
      <c r="M18" s="8" t="n">
        <v>314.8</v>
      </c>
      <c r="N18" s="9" t="n">
        <f aca="false">(K18-M18)/K18</f>
        <v>0.216330594971372</v>
      </c>
      <c r="O18" s="9" t="n">
        <f aca="false">(M18-L18)/L18</f>
        <v>0.169825343738387</v>
      </c>
      <c r="P18" s="9" t="n">
        <f aca="false">(J18-I18)/I18</f>
        <v>-0.025</v>
      </c>
      <c r="Q18" s="9" t="n">
        <f aca="false">K18/(J18*$V$1/1000)</f>
        <v>0.943655519926706</v>
      </c>
      <c r="R18" s="10" t="s">
        <v>60</v>
      </c>
    </row>
    <row r="19" customFormat="false" ht="15" hidden="false" customHeight="false" outlineLevel="0" collapsed="false">
      <c r="A19" s="6" t="s">
        <v>105</v>
      </c>
      <c r="B19" s="6" t="s">
        <v>106</v>
      </c>
      <c r="C19" s="6" t="s">
        <v>44</v>
      </c>
      <c r="D19" s="6" t="s">
        <v>63</v>
      </c>
      <c r="E19" s="6" t="s">
        <v>79</v>
      </c>
      <c r="F19" s="7" t="n">
        <v>46051</v>
      </c>
      <c r="G19" s="7" t="n">
        <v>46200</v>
      </c>
      <c r="H19" s="6" t="s">
        <v>40</v>
      </c>
      <c r="I19" s="6" t="n">
        <v>2400</v>
      </c>
      <c r="J19" s="6" t="n">
        <v>3072</v>
      </c>
      <c r="K19" s="8" t="n">
        <v>412.9</v>
      </c>
      <c r="L19" s="8" t="n">
        <v>280.8</v>
      </c>
      <c r="M19" s="8" t="n">
        <v>331.3</v>
      </c>
      <c r="N19" s="9" t="n">
        <f aca="false">(K19-M19)/K19</f>
        <v>0.197626543957375</v>
      </c>
      <c r="O19" s="9" t="n">
        <f aca="false">(M19-L19)/L19</f>
        <v>0.179843304843305</v>
      </c>
      <c r="P19" s="9" t="n">
        <f aca="false">(J19-I19)/I19</f>
        <v>0.28</v>
      </c>
      <c r="Q19" s="9" t="n">
        <f aca="false">K19/(J19*$V$1/1000)</f>
        <v>0.726527308558558</v>
      </c>
      <c r="R19" s="10" t="s">
        <v>65</v>
      </c>
    </row>
    <row r="20" customFormat="false" ht="15" hidden="false" customHeight="false" outlineLevel="0" collapsed="false">
      <c r="A20" s="6" t="s">
        <v>107</v>
      </c>
      <c r="B20" s="6" t="s">
        <v>108</v>
      </c>
      <c r="C20" s="6" t="s">
        <v>50</v>
      </c>
      <c r="D20" s="6" t="s">
        <v>68</v>
      </c>
      <c r="E20" s="6" t="s">
        <v>32</v>
      </c>
      <c r="F20" s="7" t="n">
        <v>46052</v>
      </c>
      <c r="G20" s="7" t="n">
        <v>46202</v>
      </c>
      <c r="H20" s="6" t="s">
        <v>33</v>
      </c>
      <c r="I20" s="6" t="n">
        <v>2440</v>
      </c>
      <c r="J20" s="6" t="n">
        <v>2647</v>
      </c>
      <c r="K20" s="8" t="n">
        <v>424.3</v>
      </c>
      <c r="L20" s="8" t="n">
        <v>292.8</v>
      </c>
      <c r="M20" s="8" t="n">
        <v>348.4</v>
      </c>
      <c r="N20" s="9" t="n">
        <f aca="false">(K20-M20)/K20</f>
        <v>0.178882865896771</v>
      </c>
      <c r="O20" s="9" t="n">
        <f aca="false">(M20-L20)/L20</f>
        <v>0.189890710382514</v>
      </c>
      <c r="P20" s="9" t="n">
        <f aca="false">(J20-I20)/I20</f>
        <v>0.0848360655737705</v>
      </c>
      <c r="Q20" s="9" t="n">
        <f aca="false">K20/(J20*$V$1/1000)</f>
        <v>0.86645769305384</v>
      </c>
      <c r="R20" s="10" t="s">
        <v>70</v>
      </c>
    </row>
    <row r="21" customFormat="false" ht="15" hidden="false" customHeight="false" outlineLevel="0" collapsed="false">
      <c r="A21" s="6" t="s">
        <v>109</v>
      </c>
      <c r="B21" s="6" t="s">
        <v>110</v>
      </c>
      <c r="C21" s="6" t="s">
        <v>57</v>
      </c>
      <c r="D21" s="6" t="s">
        <v>73</v>
      </c>
      <c r="E21" s="6" t="s">
        <v>39</v>
      </c>
      <c r="F21" s="7" t="n">
        <v>46053</v>
      </c>
      <c r="G21" s="7"/>
      <c r="H21" s="6" t="s">
        <v>53</v>
      </c>
      <c r="I21" s="6" t="n">
        <v>2480</v>
      </c>
      <c r="J21" s="6" t="n">
        <v>3447</v>
      </c>
      <c r="K21" s="8" t="n">
        <v>435.9</v>
      </c>
      <c r="L21" s="8" t="n">
        <v>305.1</v>
      </c>
      <c r="M21" s="8" t="n">
        <v>366.1</v>
      </c>
      <c r="N21" s="9" t="n">
        <f aca="false">(K21-M21)/K21</f>
        <v>0.16012846983253</v>
      </c>
      <c r="O21" s="9" t="n">
        <f aca="false">(M21-L21)/L21</f>
        <v>0.199934447722058</v>
      </c>
      <c r="P21" s="9" t="n">
        <f aca="false">(J21-I21)/I21</f>
        <v>0.38991935483871</v>
      </c>
      <c r="Q21" s="9" t="n">
        <f aca="false">K21/(J21*$V$1/1000)</f>
        <v>0.683555618281467</v>
      </c>
      <c r="R21" s="10"/>
    </row>
    <row r="22" customFormat="false" ht="15" hidden="false" customHeight="false" outlineLevel="0" collapsed="false">
      <c r="A22" s="6" t="s">
        <v>111</v>
      </c>
      <c r="B22" s="6" t="s">
        <v>29</v>
      </c>
      <c r="C22" s="6" t="s">
        <v>30</v>
      </c>
      <c r="D22" s="6" t="s">
        <v>78</v>
      </c>
      <c r="E22" s="6" t="s">
        <v>46</v>
      </c>
      <c r="F22" s="7" t="n">
        <v>46054</v>
      </c>
      <c r="G22" s="7" t="n">
        <v>46206</v>
      </c>
      <c r="H22" s="6" t="s">
        <v>33</v>
      </c>
      <c r="I22" s="6" t="n">
        <v>2520</v>
      </c>
      <c r="J22" s="6" t="n">
        <v>3011</v>
      </c>
      <c r="K22" s="8" t="n">
        <v>447.6</v>
      </c>
      <c r="L22" s="8" t="n">
        <v>317.8</v>
      </c>
      <c r="M22" s="8" t="n">
        <v>384.5</v>
      </c>
      <c r="N22" s="9" t="n">
        <f aca="false">(K22-M22)/K22</f>
        <v>0.140974084003575</v>
      </c>
      <c r="O22" s="9" t="n">
        <f aca="false">(M22-L22)/L22</f>
        <v>0.209880427942102</v>
      </c>
      <c r="P22" s="9" t="n">
        <f aca="false">(J22-I22)/I22</f>
        <v>0.19484126984127</v>
      </c>
      <c r="Q22" s="9" t="n">
        <f aca="false">K22/(J22*$V$1/1000)</f>
        <v>0.803540172520578</v>
      </c>
      <c r="R22" s="10" t="s">
        <v>80</v>
      </c>
    </row>
    <row r="23" customFormat="false" ht="23.85" hidden="false" customHeight="false" outlineLevel="0" collapsed="false">
      <c r="A23" s="6" t="s">
        <v>112</v>
      </c>
      <c r="B23" s="6" t="s">
        <v>36</v>
      </c>
      <c r="C23" s="6" t="s">
        <v>37</v>
      </c>
      <c r="D23" s="6" t="s">
        <v>83</v>
      </c>
      <c r="E23" s="6" t="s">
        <v>52</v>
      </c>
      <c r="F23" s="7" t="n">
        <v>46055</v>
      </c>
      <c r="G23" s="7" t="n">
        <v>46208</v>
      </c>
      <c r="H23" s="6" t="s">
        <v>40</v>
      </c>
      <c r="I23" s="6" t="n">
        <v>2560</v>
      </c>
      <c r="J23" s="6" t="n">
        <v>2560</v>
      </c>
      <c r="K23" s="8" t="n">
        <v>459.4</v>
      </c>
      <c r="L23" s="8" t="n">
        <v>330.8</v>
      </c>
      <c r="M23" s="8" t="n">
        <v>403.6</v>
      </c>
      <c r="N23" s="9" t="n">
        <f aca="false">(K23-M23)/K23</f>
        <v>0.121462777535916</v>
      </c>
      <c r="O23" s="9" t="n">
        <f aca="false">(M23-L23)/L23</f>
        <v>0.220072551390568</v>
      </c>
      <c r="P23" s="9" t="n">
        <f aca="false">(J23-I23)/I23</f>
        <v>0</v>
      </c>
      <c r="Q23" s="9" t="n">
        <f aca="false">K23/(J23*$V$1/1000)</f>
        <v>0.970016891891892</v>
      </c>
      <c r="R23" s="10" t="s">
        <v>84</v>
      </c>
    </row>
    <row r="24" customFormat="false" ht="15" hidden="false" customHeight="false" outlineLevel="0" collapsed="false">
      <c r="A24" s="6" t="s">
        <v>113</v>
      </c>
      <c r="B24" s="6" t="s">
        <v>43</v>
      </c>
      <c r="C24" s="6" t="s">
        <v>44</v>
      </c>
      <c r="D24" s="6" t="s">
        <v>87</v>
      </c>
      <c r="E24" s="6" t="s">
        <v>59</v>
      </c>
      <c r="F24" s="7" t="n">
        <v>46056</v>
      </c>
      <c r="G24" s="7" t="n">
        <v>46210</v>
      </c>
      <c r="H24" s="6" t="s">
        <v>53</v>
      </c>
      <c r="I24" s="6" t="n">
        <v>2600</v>
      </c>
      <c r="J24" s="6" t="n">
        <v>3393</v>
      </c>
      <c r="K24" s="8" t="n">
        <v>471.4</v>
      </c>
      <c r="L24" s="8" t="n">
        <v>344.1</v>
      </c>
      <c r="M24" s="8" t="n">
        <v>423.2</v>
      </c>
      <c r="N24" s="9" t="n">
        <f aca="false">(K24-M24)/K24</f>
        <v>0.102248621128553</v>
      </c>
      <c r="O24" s="9" t="n">
        <f aca="false">(M24-L24)/L24</f>
        <v>0.229875036326649</v>
      </c>
      <c r="P24" s="9" t="n">
        <f aca="false">(J24-I24)/I24</f>
        <v>0.305</v>
      </c>
      <c r="Q24" s="9" t="n">
        <f aca="false">K24/(J24*$V$1/1000)</f>
        <v>0.750989716506958</v>
      </c>
      <c r="R24" s="10" t="s">
        <v>88</v>
      </c>
    </row>
    <row r="25" customFormat="false" ht="23.85" hidden="false" customHeight="false" outlineLevel="0" collapsed="false">
      <c r="A25" s="6" t="s">
        <v>114</v>
      </c>
      <c r="B25" s="6" t="s">
        <v>49</v>
      </c>
      <c r="C25" s="6" t="s">
        <v>50</v>
      </c>
      <c r="D25" s="6" t="s">
        <v>115</v>
      </c>
      <c r="E25" s="6" t="s">
        <v>64</v>
      </c>
      <c r="F25" s="7" t="n">
        <v>46057</v>
      </c>
      <c r="G25" s="7" t="n">
        <v>46212</v>
      </c>
      <c r="H25" s="6" t="s">
        <v>101</v>
      </c>
      <c r="I25" s="6" t="n">
        <v>2640</v>
      </c>
      <c r="J25" s="6" t="n">
        <v>2930</v>
      </c>
      <c r="K25" s="8" t="n">
        <v>483.5</v>
      </c>
      <c r="L25" s="8" t="n">
        <v>357.8</v>
      </c>
      <c r="M25" s="8" t="n">
        <v>443.7</v>
      </c>
      <c r="N25" s="9" t="n">
        <f aca="false">(K25-M25)/K25</f>
        <v>0.082316442605998</v>
      </c>
      <c r="O25" s="9" t="n">
        <f aca="false">(M25-L25)/L25</f>
        <v>0.240078256008943</v>
      </c>
      <c r="P25" s="9" t="n">
        <f aca="false">(J25-I25)/I25</f>
        <v>0.109848484848485</v>
      </c>
      <c r="Q25" s="9" t="n">
        <f aca="false">K25/(J25*$V$1/1000)</f>
        <v>0.891984134304954</v>
      </c>
      <c r="R25" s="10" t="s">
        <v>92</v>
      </c>
    </row>
    <row r="26" customFormat="false" ht="15" hidden="false" customHeight="false" outlineLevel="0" collapsed="false">
      <c r="A26" s="6" t="s">
        <v>116</v>
      </c>
      <c r="B26" s="6" t="s">
        <v>56</v>
      </c>
      <c r="C26" s="6" t="s">
        <v>57</v>
      </c>
      <c r="D26" s="6" t="s">
        <v>31</v>
      </c>
      <c r="E26" s="6" t="s">
        <v>69</v>
      </c>
      <c r="F26" s="7" t="n">
        <v>46058</v>
      </c>
      <c r="G26" s="7" t="n">
        <v>46214</v>
      </c>
      <c r="H26" s="6" t="s">
        <v>33</v>
      </c>
      <c r="I26" s="6" t="n">
        <v>2680</v>
      </c>
      <c r="J26" s="6" t="n">
        <v>2452</v>
      </c>
      <c r="K26" s="8" t="n">
        <v>495.8</v>
      </c>
      <c r="L26" s="8" t="n">
        <v>371.9</v>
      </c>
      <c r="M26" s="8" t="n">
        <v>464.9</v>
      </c>
      <c r="N26" s="9" t="n">
        <f aca="false">(K26-M26)/K26</f>
        <v>0.0623235175473982</v>
      </c>
      <c r="O26" s="9" t="n">
        <f aca="false">(M26-L26)/L26</f>
        <v>0.250067222371605</v>
      </c>
      <c r="P26" s="9" t="n">
        <f aca="false">(J26-I26)/I26</f>
        <v>-0.0850746268656717</v>
      </c>
      <c r="Q26" s="9" t="n">
        <f aca="false">K26/(J26*$V$1/1000)</f>
        <v>1.09298531810767</v>
      </c>
      <c r="R26" s="10" t="s">
        <v>34</v>
      </c>
    </row>
    <row r="27" customFormat="false" ht="15" hidden="false" customHeight="false" outlineLevel="0" collapsed="false">
      <c r="A27" s="6" t="s">
        <v>117</v>
      </c>
      <c r="B27" s="6" t="s">
        <v>62</v>
      </c>
      <c r="C27" s="6" t="s">
        <v>30</v>
      </c>
      <c r="D27" s="6" t="s">
        <v>38</v>
      </c>
      <c r="E27" s="6" t="s">
        <v>74</v>
      </c>
      <c r="F27" s="7" t="n">
        <v>46059</v>
      </c>
      <c r="G27" s="7" t="n">
        <v>46216</v>
      </c>
      <c r="H27" s="6" t="s">
        <v>40</v>
      </c>
      <c r="I27" s="6" t="n">
        <v>2720</v>
      </c>
      <c r="J27" s="6" t="n">
        <v>3318</v>
      </c>
      <c r="K27" s="8" t="n">
        <v>508.2</v>
      </c>
      <c r="L27" s="8" t="n">
        <v>386.2</v>
      </c>
      <c r="M27" s="8" t="n">
        <v>486.6</v>
      </c>
      <c r="N27" s="9" t="n">
        <f aca="false">(K27-M27)/K27</f>
        <v>0.0425029515938606</v>
      </c>
      <c r="O27" s="9" t="n">
        <f aca="false">(M27-L27)/L27</f>
        <v>0.259968928016572</v>
      </c>
      <c r="P27" s="9" t="n">
        <f aca="false">(J27-I27)/I27</f>
        <v>0.219852941176471</v>
      </c>
      <c r="Q27" s="9" t="n">
        <f aca="false">K27/(J27*$V$1/1000)</f>
        <v>0.827916524119056</v>
      </c>
      <c r="R27" s="10" t="s">
        <v>41</v>
      </c>
    </row>
    <row r="28" customFormat="false" ht="23.85" hidden="false" customHeight="false" outlineLevel="0" collapsed="false">
      <c r="A28" s="6" t="s">
        <v>118</v>
      </c>
      <c r="B28" s="6" t="s">
        <v>67</v>
      </c>
      <c r="C28" s="6" t="s">
        <v>37</v>
      </c>
      <c r="D28" s="6" t="s">
        <v>45</v>
      </c>
      <c r="E28" s="6" t="s">
        <v>79</v>
      </c>
      <c r="F28" s="7" t="n">
        <v>46060</v>
      </c>
      <c r="G28" s="7" t="n">
        <v>46218</v>
      </c>
      <c r="H28" s="6" t="s">
        <v>33</v>
      </c>
      <c r="I28" s="6" t="n">
        <v>2760</v>
      </c>
      <c r="J28" s="6" t="n">
        <v>2828</v>
      </c>
      <c r="K28" s="8" t="n">
        <v>520.8</v>
      </c>
      <c r="L28" s="8" t="n">
        <v>401</v>
      </c>
      <c r="M28" s="8" t="n">
        <v>614.5</v>
      </c>
      <c r="N28" s="9" t="n">
        <f aca="false">(K28-M28)/K28</f>
        <v>-0.179915514592934</v>
      </c>
      <c r="O28" s="9" t="n">
        <f aca="false">(M28-L28)/L28</f>
        <v>0.532418952618454</v>
      </c>
      <c r="P28" s="9" t="n">
        <f aca="false">(J28-I28)/I28</f>
        <v>0.0246376811594203</v>
      </c>
      <c r="Q28" s="9" t="n">
        <f aca="false">K28/(J28*$V$1/1000)</f>
        <v>0.995450896440996</v>
      </c>
      <c r="R28" s="10" t="s">
        <v>47</v>
      </c>
    </row>
    <row r="29" customFormat="false" ht="23.85" hidden="false" customHeight="false" outlineLevel="0" collapsed="false">
      <c r="A29" s="6" t="s">
        <v>119</v>
      </c>
      <c r="B29" s="6" t="s">
        <v>72</v>
      </c>
      <c r="C29" s="6" t="s">
        <v>44</v>
      </c>
      <c r="D29" s="6" t="s">
        <v>51</v>
      </c>
      <c r="E29" s="6" t="s">
        <v>32</v>
      </c>
      <c r="F29" s="7" t="n">
        <v>46061</v>
      </c>
      <c r="G29" s="7" t="n">
        <v>46220</v>
      </c>
      <c r="H29" s="6" t="s">
        <v>53</v>
      </c>
      <c r="I29" s="6" t="n">
        <v>400</v>
      </c>
      <c r="J29" s="6" t="n">
        <v>532</v>
      </c>
      <c r="K29" s="8" t="n">
        <v>76.2</v>
      </c>
      <c r="L29" s="8" t="n">
        <v>47.2</v>
      </c>
      <c r="M29" s="8" t="n">
        <v>60.4</v>
      </c>
      <c r="N29" s="9" t="n">
        <f aca="false">(K29-M29)/K29</f>
        <v>0.207349081364829</v>
      </c>
      <c r="O29" s="9" t="n">
        <f aca="false">(M29-L29)/L29</f>
        <v>0.279661016949152</v>
      </c>
      <c r="P29" s="9" t="n">
        <f aca="false">(J29-I29)/I29</f>
        <v>0.33</v>
      </c>
      <c r="Q29" s="9" t="n">
        <f aca="false">K29/(J29*$V$1/1000)</f>
        <v>0.774232879496037</v>
      </c>
      <c r="R29" s="10" t="s">
        <v>54</v>
      </c>
    </row>
    <row r="30" customFormat="false" ht="23.85" hidden="false" customHeight="false" outlineLevel="0" collapsed="false">
      <c r="A30" s="6" t="s">
        <v>120</v>
      </c>
      <c r="B30" s="6" t="s">
        <v>77</v>
      </c>
      <c r="C30" s="6" t="s">
        <v>50</v>
      </c>
      <c r="D30" s="6" t="s">
        <v>104</v>
      </c>
      <c r="E30" s="6" t="s">
        <v>39</v>
      </c>
      <c r="F30" s="7" t="n">
        <v>46062</v>
      </c>
      <c r="G30" s="7" t="n">
        <v>46222</v>
      </c>
      <c r="H30" s="6" t="s">
        <v>33</v>
      </c>
      <c r="I30" s="6" t="n">
        <v>440</v>
      </c>
      <c r="J30" s="6" t="n">
        <v>499</v>
      </c>
      <c r="K30" s="8" t="n">
        <v>84.7</v>
      </c>
      <c r="L30" s="8" t="n">
        <v>53.4</v>
      </c>
      <c r="M30" s="8" t="n">
        <v>68.9</v>
      </c>
      <c r="N30" s="9" t="n">
        <f aca="false">(K30-M30)/K30</f>
        <v>0.186540731995277</v>
      </c>
      <c r="O30" s="9" t="n">
        <f aca="false">(M30-L30)/L30</f>
        <v>0.290262172284644</v>
      </c>
      <c r="P30" s="9" t="n">
        <f aca="false">(J30-I30)/I30</f>
        <v>0.134090909090909</v>
      </c>
      <c r="Q30" s="9" t="n">
        <f aca="false">K30/(J30*$V$1/1000)</f>
        <v>0.917510697069815</v>
      </c>
      <c r="R30" s="10" t="s">
        <v>60</v>
      </c>
    </row>
    <row r="31" customFormat="false" ht="15" hidden="false" customHeight="false" outlineLevel="0" collapsed="false">
      <c r="A31" s="6" t="s">
        <v>121</v>
      </c>
      <c r="B31" s="6" t="s">
        <v>82</v>
      </c>
      <c r="C31" s="6" t="s">
        <v>57</v>
      </c>
      <c r="D31" s="6" t="s">
        <v>63</v>
      </c>
      <c r="E31" s="6" t="s">
        <v>46</v>
      </c>
      <c r="F31" s="7" t="n">
        <v>46063</v>
      </c>
      <c r="G31" s="7" t="n">
        <v>46224</v>
      </c>
      <c r="H31" s="6" t="s">
        <v>40</v>
      </c>
      <c r="I31" s="6" t="n">
        <v>480</v>
      </c>
      <c r="J31" s="6" t="n">
        <v>451</v>
      </c>
      <c r="K31" s="8" t="n">
        <v>93.2</v>
      </c>
      <c r="L31" s="8" t="n">
        <v>59.6</v>
      </c>
      <c r="M31" s="8" t="n">
        <v>77.5</v>
      </c>
      <c r="N31" s="9" t="n">
        <f aca="false">(K31-M31)/K31</f>
        <v>0.168454935622318</v>
      </c>
      <c r="O31" s="9" t="n">
        <f aca="false">(M31-L31)/L31</f>
        <v>0.300335570469799</v>
      </c>
      <c r="P31" s="9" t="n">
        <f aca="false">(J31-I31)/I31</f>
        <v>-0.0604166666666667</v>
      </c>
      <c r="Q31" s="9" t="n">
        <f aca="false">K31/(J31*$V$1/1000)</f>
        <v>1.11703721459819</v>
      </c>
      <c r="R31" s="10" t="s">
        <v>65</v>
      </c>
    </row>
    <row r="32" customFormat="false" ht="15" hidden="false" customHeight="false" outlineLevel="0" collapsed="false">
      <c r="A32" s="6" t="s">
        <v>122</v>
      </c>
      <c r="B32" s="6" t="s">
        <v>86</v>
      </c>
      <c r="C32" s="6" t="s">
        <v>30</v>
      </c>
      <c r="D32" s="6" t="s">
        <v>68</v>
      </c>
      <c r="E32" s="6" t="s">
        <v>52</v>
      </c>
      <c r="F32" s="7" t="n">
        <v>46064</v>
      </c>
      <c r="G32" s="7" t="n">
        <v>46226</v>
      </c>
      <c r="H32" s="6" t="s">
        <v>53</v>
      </c>
      <c r="I32" s="6" t="n">
        <v>520</v>
      </c>
      <c r="J32" s="6" t="n">
        <v>647</v>
      </c>
      <c r="K32" s="8" t="n">
        <v>102</v>
      </c>
      <c r="L32" s="8" t="n">
        <v>66.3</v>
      </c>
      <c r="M32" s="8" t="n">
        <v>86.9</v>
      </c>
      <c r="N32" s="9" t="n">
        <f aca="false">(K32-M32)/K32</f>
        <v>0.148039215686274</v>
      </c>
      <c r="O32" s="9" t="n">
        <f aca="false">(M32-L32)/L32</f>
        <v>0.310708898944193</v>
      </c>
      <c r="P32" s="9" t="n">
        <f aca="false">(J32-I32)/I32</f>
        <v>0.244230769230769</v>
      </c>
      <c r="Q32" s="9" t="n">
        <f aca="false">K32/(J32*$V$1/1000)</f>
        <v>0.852165921717699</v>
      </c>
      <c r="R32" s="10" t="s">
        <v>70</v>
      </c>
    </row>
    <row r="33" customFormat="false" ht="15" hidden="false" customHeight="false" outlineLevel="0" collapsed="false">
      <c r="A33" s="6" t="s">
        <v>123</v>
      </c>
      <c r="B33" s="6" t="s">
        <v>90</v>
      </c>
      <c r="C33" s="6" t="s">
        <v>37</v>
      </c>
      <c r="D33" s="6" t="s">
        <v>73</v>
      </c>
      <c r="E33" s="6" t="s">
        <v>59</v>
      </c>
      <c r="F33" s="7" t="n">
        <v>46065</v>
      </c>
      <c r="G33" s="7" t="n">
        <v>46228</v>
      </c>
      <c r="H33" s="6" t="s">
        <v>101</v>
      </c>
      <c r="I33" s="6" t="n">
        <v>560</v>
      </c>
      <c r="J33" s="6" t="n">
        <v>588</v>
      </c>
      <c r="K33" s="8" t="n">
        <v>110.9</v>
      </c>
      <c r="L33" s="8" t="n">
        <v>73.2</v>
      </c>
      <c r="M33" s="8" t="n">
        <v>67.3</v>
      </c>
      <c r="N33" s="9" t="n">
        <f aca="false">(K33-M33)/K33</f>
        <v>0.393146979260595</v>
      </c>
      <c r="O33" s="9" t="n">
        <f aca="false">(M33-L33)/L33</f>
        <v>-0.0806010928961749</v>
      </c>
      <c r="P33" s="9" t="n">
        <f aca="false">(J33-I33)/I33</f>
        <v>0.05</v>
      </c>
      <c r="Q33" s="9" t="n">
        <f aca="false">K33/(J33*$V$1/1000)</f>
        <v>1.01948887663173</v>
      </c>
      <c r="R33" s="10"/>
    </row>
    <row r="34" customFormat="false" ht="15" hidden="false" customHeight="false" outlineLevel="0" collapsed="false">
      <c r="A34" s="6" t="s">
        <v>124</v>
      </c>
      <c r="B34" s="6" t="s">
        <v>94</v>
      </c>
      <c r="C34" s="6" t="s">
        <v>44</v>
      </c>
      <c r="D34" s="6" t="s">
        <v>78</v>
      </c>
      <c r="E34" s="6" t="s">
        <v>64</v>
      </c>
      <c r="F34" s="7" t="n">
        <v>46066</v>
      </c>
      <c r="G34" s="7" t="n">
        <v>46230</v>
      </c>
      <c r="H34" s="6" t="s">
        <v>33</v>
      </c>
      <c r="I34" s="6" t="n">
        <v>600</v>
      </c>
      <c r="J34" s="6" t="n">
        <v>813</v>
      </c>
      <c r="K34" s="8" t="n">
        <v>119.9</v>
      </c>
      <c r="L34" s="8" t="n">
        <v>80.3</v>
      </c>
      <c r="M34" s="8" t="n">
        <v>74.7</v>
      </c>
      <c r="N34" s="9" t="n">
        <f aca="false">(K34-M34)/K34</f>
        <v>0.37698081734779</v>
      </c>
      <c r="O34" s="9" t="n">
        <f aca="false">(M34-L34)/L34</f>
        <v>-0.0697384806973847</v>
      </c>
      <c r="P34" s="9" t="n">
        <f aca="false">(J34-I34)/I34</f>
        <v>0.355</v>
      </c>
      <c r="Q34" s="9" t="n">
        <f aca="false">K34/(J34*$V$1/1000)</f>
        <v>0.797180944782421</v>
      </c>
      <c r="R34" s="10" t="s">
        <v>80</v>
      </c>
    </row>
    <row r="35" customFormat="false" ht="23.85" hidden="false" customHeight="false" outlineLevel="0" collapsed="false">
      <c r="A35" s="6" t="s">
        <v>125</v>
      </c>
      <c r="B35" s="6" t="s">
        <v>96</v>
      </c>
      <c r="C35" s="6" t="s">
        <v>50</v>
      </c>
      <c r="D35" s="6" t="s">
        <v>83</v>
      </c>
      <c r="E35" s="6" t="s">
        <v>69</v>
      </c>
      <c r="F35" s="7" t="n">
        <v>46067</v>
      </c>
      <c r="G35" s="7" t="n">
        <v>46112</v>
      </c>
      <c r="H35" s="6" t="s">
        <v>40</v>
      </c>
      <c r="I35" s="6" t="n">
        <v>640</v>
      </c>
      <c r="J35" s="6" t="n">
        <v>992</v>
      </c>
      <c r="K35" s="8" t="n">
        <v>129.1</v>
      </c>
      <c r="L35" s="8" t="n">
        <v>87.8</v>
      </c>
      <c r="M35" s="8" t="n">
        <v>82.5</v>
      </c>
      <c r="N35" s="9" t="n">
        <f aca="false">(K35-M35)/K35</f>
        <v>0.360960495739737</v>
      </c>
      <c r="O35" s="9" t="n">
        <f aca="false">(M35-L35)/L35</f>
        <v>-0.0603644646924829</v>
      </c>
      <c r="P35" s="9" t="n">
        <f aca="false">(J35-I35)/I35</f>
        <v>0.55</v>
      </c>
      <c r="Q35" s="9" t="n">
        <f aca="false">K35/(J35*$V$1/1000)</f>
        <v>0.70346556233653</v>
      </c>
      <c r="R35" s="10" t="s">
        <v>84</v>
      </c>
    </row>
    <row r="36" customFormat="false" ht="15" hidden="false" customHeight="false" outlineLevel="0" collapsed="false">
      <c r="A36" s="6" t="s">
        <v>126</v>
      </c>
      <c r="B36" s="6" t="s">
        <v>98</v>
      </c>
      <c r="C36" s="6" t="s">
        <v>57</v>
      </c>
      <c r="D36" s="6" t="s">
        <v>87</v>
      </c>
      <c r="E36" s="6" t="s">
        <v>74</v>
      </c>
      <c r="F36" s="7" t="n">
        <v>46068</v>
      </c>
      <c r="G36" s="7" t="n">
        <v>46114</v>
      </c>
      <c r="H36" s="6" t="s">
        <v>33</v>
      </c>
      <c r="I36" s="6" t="n">
        <v>680</v>
      </c>
      <c r="J36" s="6" t="n">
        <v>656</v>
      </c>
      <c r="K36" s="8" t="n">
        <v>138.4</v>
      </c>
      <c r="L36" s="8" t="n">
        <v>95.5</v>
      </c>
      <c r="M36" s="8" t="n">
        <v>90.7</v>
      </c>
      <c r="N36" s="9" t="n">
        <f aca="false">(K36-M36)/K36</f>
        <v>0.344653179190751</v>
      </c>
      <c r="O36" s="9" t="n">
        <f aca="false">(M36-L36)/L36</f>
        <v>-0.050261780104712</v>
      </c>
      <c r="P36" s="9" t="n">
        <f aca="false">(J36-I36)/I36</f>
        <v>-0.0352941176470588</v>
      </c>
      <c r="Q36" s="9" t="n">
        <f aca="false">K36/(J36*$V$1/1000)</f>
        <v>1.14040870138431</v>
      </c>
      <c r="R36" s="10" t="s">
        <v>88</v>
      </c>
    </row>
    <row r="37" customFormat="false" ht="23.85" hidden="false" customHeight="false" outlineLevel="0" collapsed="false">
      <c r="A37" s="6" t="s">
        <v>127</v>
      </c>
      <c r="B37" s="6" t="s">
        <v>100</v>
      </c>
      <c r="C37" s="6" t="s">
        <v>30</v>
      </c>
      <c r="D37" s="6" t="s">
        <v>115</v>
      </c>
      <c r="E37" s="6" t="s">
        <v>79</v>
      </c>
      <c r="F37" s="7" t="n">
        <v>46069</v>
      </c>
      <c r="G37" s="7" t="n">
        <v>46116</v>
      </c>
      <c r="H37" s="6" t="s">
        <v>53</v>
      </c>
      <c r="I37" s="6" t="n">
        <v>720</v>
      </c>
      <c r="J37" s="6" t="n">
        <v>914</v>
      </c>
      <c r="K37" s="8" t="n">
        <v>147.9</v>
      </c>
      <c r="L37" s="8" t="n">
        <v>103.5</v>
      </c>
      <c r="M37" s="8" t="n">
        <v>99.4</v>
      </c>
      <c r="N37" s="9" t="n">
        <f aca="false">(K37-M37)/K37</f>
        <v>0.327924273157539</v>
      </c>
      <c r="O37" s="9" t="n">
        <f aca="false">(M37-L37)/L37</f>
        <v>-0.0396135265700483</v>
      </c>
      <c r="P37" s="9" t="n">
        <f aca="false">(J37-I37)/I37</f>
        <v>0.269444444444444</v>
      </c>
      <c r="Q37" s="9" t="n">
        <f aca="false">K37/(J37*$V$1/1000)</f>
        <v>0.874682121946892</v>
      </c>
      <c r="R37" s="10" t="s">
        <v>92</v>
      </c>
    </row>
    <row r="38" customFormat="false" ht="15" hidden="false" customHeight="false" outlineLevel="0" collapsed="false">
      <c r="A38" s="6" t="s">
        <v>128</v>
      </c>
      <c r="B38" s="6" t="s">
        <v>103</v>
      </c>
      <c r="C38" s="6" t="s">
        <v>37</v>
      </c>
      <c r="D38" s="6" t="s">
        <v>31</v>
      </c>
      <c r="E38" s="6" t="s">
        <v>32</v>
      </c>
      <c r="F38" s="7" t="n">
        <v>46070</v>
      </c>
      <c r="G38" s="7" t="n">
        <v>46118</v>
      </c>
      <c r="H38" s="6" t="s">
        <v>33</v>
      </c>
      <c r="I38" s="6" t="n">
        <v>760</v>
      </c>
      <c r="J38" s="6" t="n">
        <v>817</v>
      </c>
      <c r="K38" s="8" t="n">
        <v>157.5</v>
      </c>
      <c r="L38" s="8" t="n">
        <v>111.8</v>
      </c>
      <c r="M38" s="8" t="n">
        <v>108.4</v>
      </c>
      <c r="N38" s="9" t="n">
        <f aca="false">(K38-M38)/K38</f>
        <v>0.311746031746032</v>
      </c>
      <c r="O38" s="9" t="n">
        <f aca="false">(M38-L38)/L38</f>
        <v>-0.0304114490161001</v>
      </c>
      <c r="P38" s="9" t="n">
        <f aca="false">(J38-I38)/I38</f>
        <v>0.075</v>
      </c>
      <c r="Q38" s="9" t="n">
        <f aca="false">K38/(J38*$V$1/1000)</f>
        <v>1.04204571768831</v>
      </c>
      <c r="R38" s="10" t="s">
        <v>34</v>
      </c>
    </row>
    <row r="39" customFormat="false" ht="15" hidden="false" customHeight="false" outlineLevel="0" collapsed="false">
      <c r="A39" s="6" t="s">
        <v>129</v>
      </c>
      <c r="B39" s="6" t="s">
        <v>106</v>
      </c>
      <c r="C39" s="6" t="s">
        <v>44</v>
      </c>
      <c r="D39" s="6" t="s">
        <v>38</v>
      </c>
      <c r="E39" s="6" t="s">
        <v>39</v>
      </c>
      <c r="F39" s="7" t="n">
        <v>46071</v>
      </c>
      <c r="G39" s="7" t="n">
        <v>46120</v>
      </c>
      <c r="H39" s="6" t="s">
        <v>40</v>
      </c>
      <c r="I39" s="6" t="n">
        <v>800</v>
      </c>
      <c r="J39" s="6" t="n">
        <v>1104</v>
      </c>
      <c r="K39" s="8" t="n">
        <v>167.2</v>
      </c>
      <c r="L39" s="8" t="n">
        <v>120.4</v>
      </c>
      <c r="M39" s="8" t="n">
        <v>118</v>
      </c>
      <c r="N39" s="9" t="n">
        <f aca="false">(K39-M39)/K39</f>
        <v>0.294258373205742</v>
      </c>
      <c r="O39" s="9" t="n">
        <f aca="false">(M39-L39)/L39</f>
        <v>-0.0199335548172758</v>
      </c>
      <c r="P39" s="9" t="n">
        <f aca="false">(J39-I39)/I39</f>
        <v>0.38</v>
      </c>
      <c r="Q39" s="9" t="n">
        <f aca="false">K39/(J39*$V$1/1000)</f>
        <v>0.81864473168821</v>
      </c>
      <c r="R39" s="10" t="s">
        <v>41</v>
      </c>
    </row>
    <row r="40" customFormat="false" ht="23.85" hidden="false" customHeight="false" outlineLevel="0" collapsed="false">
      <c r="A40" s="6" t="s">
        <v>130</v>
      </c>
      <c r="B40" s="6" t="s">
        <v>108</v>
      </c>
      <c r="C40" s="6" t="s">
        <v>50</v>
      </c>
      <c r="D40" s="6" t="s">
        <v>45</v>
      </c>
      <c r="E40" s="6" t="s">
        <v>46</v>
      </c>
      <c r="F40" s="7" t="n">
        <v>46072</v>
      </c>
      <c r="G40" s="7" t="n">
        <v>46122</v>
      </c>
      <c r="H40" s="6" t="s">
        <v>53</v>
      </c>
      <c r="I40" s="6" t="n">
        <v>840</v>
      </c>
      <c r="J40" s="6" t="n">
        <v>995</v>
      </c>
      <c r="K40" s="8" t="n">
        <v>177.2</v>
      </c>
      <c r="L40" s="8" t="n">
        <v>129.4</v>
      </c>
      <c r="M40" s="8" t="n">
        <v>128.1</v>
      </c>
      <c r="N40" s="9" t="n">
        <f aca="false">(K40-M40)/K40</f>
        <v>0.277088036117382</v>
      </c>
      <c r="O40" s="9" t="n">
        <f aca="false">(M40-L40)/L40</f>
        <v>-0.010046367851623</v>
      </c>
      <c r="P40" s="9" t="n">
        <f aca="false">(J40-I40)/I40</f>
        <v>0.18452380952381</v>
      </c>
      <c r="Q40" s="9" t="n">
        <f aca="false">K40/(J40*$V$1/1000)</f>
        <v>0.96265109330436</v>
      </c>
      <c r="R40" s="10" t="s">
        <v>47</v>
      </c>
    </row>
    <row r="41" customFormat="false" ht="23.85" hidden="false" customHeight="false" outlineLevel="0" collapsed="false">
      <c r="A41" s="6" t="s">
        <v>131</v>
      </c>
      <c r="B41" s="6" t="s">
        <v>110</v>
      </c>
      <c r="C41" s="6" t="s">
        <v>57</v>
      </c>
      <c r="D41" s="6" t="s">
        <v>51</v>
      </c>
      <c r="E41" s="6" t="s">
        <v>52</v>
      </c>
      <c r="F41" s="7" t="n">
        <v>46073</v>
      </c>
      <c r="G41" s="7" t="n">
        <v>46124</v>
      </c>
      <c r="H41" s="6" t="s">
        <v>101</v>
      </c>
      <c r="I41" s="6" t="n">
        <v>880</v>
      </c>
      <c r="J41" s="6" t="n">
        <v>871</v>
      </c>
      <c r="K41" s="8" t="n">
        <v>138.4</v>
      </c>
      <c r="L41" s="8" t="n">
        <v>102.4</v>
      </c>
      <c r="M41" s="8" t="n">
        <v>102.4</v>
      </c>
      <c r="N41" s="9" t="n">
        <f aca="false">(K41-M41)/K41</f>
        <v>0.260115606936416</v>
      </c>
      <c r="O41" s="9" t="n">
        <f aca="false">(M41-L41)/L41</f>
        <v>0</v>
      </c>
      <c r="P41" s="9" t="n">
        <f aca="false">(J41-I41)/I41</f>
        <v>-0.0102272727272727</v>
      </c>
      <c r="Q41" s="9" t="n">
        <f aca="false">K41/(J41*$V$1/1000)</f>
        <v>0.858907127563844</v>
      </c>
      <c r="R41" s="10" t="s">
        <v>54</v>
      </c>
    </row>
    <row r="42" customFormat="false" ht="23.85" hidden="false" customHeight="false" outlineLevel="0" collapsed="false">
      <c r="A42" s="6" t="s">
        <v>132</v>
      </c>
      <c r="B42" s="6" t="s">
        <v>29</v>
      </c>
      <c r="C42" s="6" t="s">
        <v>30</v>
      </c>
      <c r="D42" s="6" t="s">
        <v>104</v>
      </c>
      <c r="E42" s="6" t="s">
        <v>59</v>
      </c>
      <c r="F42" s="7" t="n">
        <v>46074</v>
      </c>
      <c r="G42" s="7" t="n">
        <v>46126</v>
      </c>
      <c r="H42" s="6" t="s">
        <v>33</v>
      </c>
      <c r="I42" s="6" t="n">
        <v>920</v>
      </c>
      <c r="J42" s="6" t="n">
        <v>1191</v>
      </c>
      <c r="K42" s="8" t="n">
        <v>146.4</v>
      </c>
      <c r="L42" s="8" t="n">
        <v>109.8</v>
      </c>
      <c r="M42" s="8" t="n">
        <v>159.2</v>
      </c>
      <c r="N42" s="9" t="n">
        <f aca="false">(K42-M42)/K42</f>
        <v>-0.0874316939890709</v>
      </c>
      <c r="O42" s="9" t="n">
        <f aca="false">(M42-L42)/L42</f>
        <v>0.449908925318761</v>
      </c>
      <c r="P42" s="9" t="n">
        <f aca="false">(J42-I42)/I42</f>
        <v>0.294565217391304</v>
      </c>
      <c r="Q42" s="9" t="n">
        <f aca="false">K42/(J42*$V$1/1000)</f>
        <v>0.664442780311798</v>
      </c>
      <c r="R42" s="10" t="s">
        <v>60</v>
      </c>
    </row>
    <row r="43" customFormat="false" ht="15" hidden="false" customHeight="false" outlineLevel="0" collapsed="false">
      <c r="A43" s="6" t="s">
        <v>133</v>
      </c>
      <c r="B43" s="6" t="s">
        <v>36</v>
      </c>
      <c r="C43" s="6" t="s">
        <v>37</v>
      </c>
      <c r="D43" s="6" t="s">
        <v>63</v>
      </c>
      <c r="E43" s="6" t="s">
        <v>64</v>
      </c>
      <c r="F43" s="7" t="n">
        <v>46075</v>
      </c>
      <c r="G43" s="7" t="n">
        <v>46128</v>
      </c>
      <c r="H43" s="6" t="s">
        <v>40</v>
      </c>
      <c r="I43" s="6" t="n">
        <v>960</v>
      </c>
      <c r="J43" s="6" t="n">
        <v>1056</v>
      </c>
      <c r="K43" s="8" t="n">
        <v>154.5</v>
      </c>
      <c r="L43" s="8" t="n">
        <v>117.4</v>
      </c>
      <c r="M43" s="8" t="n">
        <v>119.7</v>
      </c>
      <c r="N43" s="9" t="n">
        <f aca="false">(K43-M43)/K43</f>
        <v>0.225242718446602</v>
      </c>
      <c r="O43" s="9" t="n">
        <f aca="false">(M43-L43)/L43</f>
        <v>0.0195911413969335</v>
      </c>
      <c r="P43" s="9" t="n">
        <f aca="false">(J43-I43)/I43</f>
        <v>0.1</v>
      </c>
      <c r="Q43" s="9" t="n">
        <f aca="false">K43/(J43*$V$1/1000)</f>
        <v>0.790847665847666</v>
      </c>
      <c r="R43" s="10" t="s">
        <v>65</v>
      </c>
    </row>
    <row r="44" customFormat="false" ht="15" hidden="false" customHeight="false" outlineLevel="0" collapsed="false">
      <c r="A44" s="6" t="s">
        <v>134</v>
      </c>
      <c r="B44" s="6" t="s">
        <v>43</v>
      </c>
      <c r="C44" s="6" t="s">
        <v>44</v>
      </c>
      <c r="D44" s="6" t="s">
        <v>68</v>
      </c>
      <c r="E44" s="6" t="s">
        <v>69</v>
      </c>
      <c r="F44" s="7" t="n">
        <v>46076</v>
      </c>
      <c r="G44" s="7" t="n">
        <v>46130</v>
      </c>
      <c r="H44" s="6" t="s">
        <v>33</v>
      </c>
      <c r="I44" s="6" t="n">
        <v>1000</v>
      </c>
      <c r="J44" s="6" t="n">
        <v>905</v>
      </c>
      <c r="K44" s="8" t="n">
        <v>162.8</v>
      </c>
      <c r="L44" s="8" t="n">
        <v>125.4</v>
      </c>
      <c r="M44" s="8" t="n">
        <v>129.2</v>
      </c>
      <c r="N44" s="9" t="n">
        <f aca="false">(K44-M44)/K44</f>
        <v>0.206388206388207</v>
      </c>
      <c r="O44" s="9" t="n">
        <f aca="false">(M44-L44)/L44</f>
        <v>0.0303030303030302</v>
      </c>
      <c r="P44" s="9" t="n">
        <f aca="false">(J44-I44)/I44</f>
        <v>-0.095</v>
      </c>
      <c r="Q44" s="9" t="n">
        <f aca="false">K44/(J44*$V$1/1000)</f>
        <v>0.972375690607735</v>
      </c>
      <c r="R44" s="10" t="s">
        <v>70</v>
      </c>
    </row>
    <row r="45" customFormat="false" ht="15" hidden="false" customHeight="false" outlineLevel="0" collapsed="false">
      <c r="A45" s="6" t="s">
        <v>135</v>
      </c>
      <c r="B45" s="6" t="s">
        <v>49</v>
      </c>
      <c r="C45" s="6" t="s">
        <v>50</v>
      </c>
      <c r="D45" s="6" t="s">
        <v>73</v>
      </c>
      <c r="E45" s="6" t="s">
        <v>74</v>
      </c>
      <c r="F45" s="7" t="n">
        <v>46077</v>
      </c>
      <c r="G45" s="7" t="n">
        <v>46132</v>
      </c>
      <c r="H45" s="6" t="s">
        <v>53</v>
      </c>
      <c r="I45" s="6" t="n">
        <v>1040</v>
      </c>
      <c r="J45" s="6" t="n">
        <v>1258</v>
      </c>
      <c r="K45" s="8" t="n">
        <v>171.2</v>
      </c>
      <c r="L45" s="8" t="n">
        <v>106.1</v>
      </c>
      <c r="M45" s="8" t="n">
        <v>110.3</v>
      </c>
      <c r="N45" s="9" t="n">
        <f aca="false">(K45-M45)/K45</f>
        <v>0.355724299065421</v>
      </c>
      <c r="O45" s="9" t="n">
        <f aca="false">(M45-L45)/L45</f>
        <v>0.0395852968897267</v>
      </c>
      <c r="P45" s="9" t="n">
        <f aca="false">(J45-I45)/I45</f>
        <v>0.209615384615385</v>
      </c>
      <c r="Q45" s="9" t="n">
        <f aca="false">K45/(J45*$V$1/1000)</f>
        <v>0.735616379495553</v>
      </c>
      <c r="R45" s="10"/>
    </row>
    <row r="46" customFormat="false" ht="15" hidden="false" customHeight="false" outlineLevel="0" collapsed="false">
      <c r="A46" s="6" t="s">
        <v>136</v>
      </c>
      <c r="B46" s="6" t="s">
        <v>56</v>
      </c>
      <c r="C46" s="6" t="s">
        <v>57</v>
      </c>
      <c r="D46" s="6" t="s">
        <v>78</v>
      </c>
      <c r="E46" s="6" t="s">
        <v>79</v>
      </c>
      <c r="F46" s="7" t="n">
        <v>46078</v>
      </c>
      <c r="G46" s="7" t="n">
        <v>46134</v>
      </c>
      <c r="H46" s="6" t="s">
        <v>33</v>
      </c>
      <c r="I46" s="6" t="n">
        <v>1080</v>
      </c>
      <c r="J46" s="6" t="n">
        <v>1096</v>
      </c>
      <c r="K46" s="8" t="n">
        <v>179.8</v>
      </c>
      <c r="L46" s="8" t="n">
        <v>113.3</v>
      </c>
      <c r="M46" s="8" t="n">
        <v>119</v>
      </c>
      <c r="N46" s="9" t="n">
        <f aca="false">(K46-M46)/K46</f>
        <v>0.338153503893215</v>
      </c>
      <c r="O46" s="9" t="n">
        <f aca="false">(M46-L46)/L46</f>
        <v>0.0503089143865843</v>
      </c>
      <c r="P46" s="9" t="n">
        <f aca="false">(J46-I46)/I46</f>
        <v>0.0148148148148148</v>
      </c>
      <c r="Q46" s="9" t="n">
        <f aca="false">K46/(J46*$V$1/1000)</f>
        <v>0.886762675083843</v>
      </c>
      <c r="R46" s="10" t="s">
        <v>80</v>
      </c>
    </row>
    <row r="47" customFormat="false" ht="23.85" hidden="false" customHeight="false" outlineLevel="0" collapsed="false">
      <c r="A47" s="6" t="s">
        <v>137</v>
      </c>
      <c r="B47" s="6" t="s">
        <v>62</v>
      </c>
      <c r="C47" s="6" t="s">
        <v>30</v>
      </c>
      <c r="D47" s="6" t="s">
        <v>83</v>
      </c>
      <c r="E47" s="6" t="s">
        <v>32</v>
      </c>
      <c r="F47" s="7" t="n">
        <v>46079</v>
      </c>
      <c r="G47" s="7" t="n">
        <v>46136</v>
      </c>
      <c r="H47" s="6" t="s">
        <v>40</v>
      </c>
      <c r="I47" s="6" t="n">
        <v>1120</v>
      </c>
      <c r="J47" s="6" t="n">
        <v>1478</v>
      </c>
      <c r="K47" s="8" t="n">
        <v>188.6</v>
      </c>
      <c r="L47" s="8" t="n">
        <v>120.7</v>
      </c>
      <c r="M47" s="8" t="n">
        <v>127.9</v>
      </c>
      <c r="N47" s="9" t="n">
        <f aca="false">(K47-M47)/K47</f>
        <v>0.321845174973489</v>
      </c>
      <c r="O47" s="9" t="n">
        <f aca="false">(M47-L47)/L47</f>
        <v>0.0596520298260149</v>
      </c>
      <c r="P47" s="9" t="n">
        <f aca="false">(J47-I47)/I47</f>
        <v>0.319642857142857</v>
      </c>
      <c r="Q47" s="9" t="n">
        <f aca="false">K47/(J47*$V$1/1000)</f>
        <v>0.689756061880554</v>
      </c>
      <c r="R47" s="10" t="s">
        <v>84</v>
      </c>
    </row>
    <row r="48" customFormat="false" ht="15" hidden="false" customHeight="false" outlineLevel="0" collapsed="false">
      <c r="A48" s="6" t="s">
        <v>138</v>
      </c>
      <c r="B48" s="6" t="s">
        <v>67</v>
      </c>
      <c r="C48" s="6" t="s">
        <v>37</v>
      </c>
      <c r="D48" s="6" t="s">
        <v>87</v>
      </c>
      <c r="E48" s="6" t="s">
        <v>39</v>
      </c>
      <c r="F48" s="7" t="n">
        <v>46080</v>
      </c>
      <c r="G48" s="7" t="n">
        <v>46138</v>
      </c>
      <c r="H48" s="6" t="s">
        <v>53</v>
      </c>
      <c r="I48" s="6" t="n">
        <v>1160</v>
      </c>
      <c r="J48" s="6" t="n">
        <v>1305</v>
      </c>
      <c r="K48" s="8" t="n">
        <v>197.4</v>
      </c>
      <c r="L48" s="8" t="n">
        <v>128.3</v>
      </c>
      <c r="M48" s="8" t="n">
        <v>137.3</v>
      </c>
      <c r="N48" s="9" t="n">
        <f aca="false">(K48-M48)/K48</f>
        <v>0.304457953394124</v>
      </c>
      <c r="O48" s="9" t="n">
        <f aca="false">(M48-L48)/L48</f>
        <v>0.0701480904130943</v>
      </c>
      <c r="P48" s="9" t="n">
        <f aca="false">(J48-I48)/I48</f>
        <v>0.125</v>
      </c>
      <c r="Q48" s="9" t="n">
        <f aca="false">K48/(J48*$V$1/1000)</f>
        <v>0.817645231438335</v>
      </c>
      <c r="R48" s="10" t="s">
        <v>88</v>
      </c>
    </row>
    <row r="49" customFormat="false" ht="23.85" hidden="false" customHeight="false" outlineLevel="0" collapsed="false">
      <c r="A49" s="6" t="s">
        <v>139</v>
      </c>
      <c r="B49" s="6" t="s">
        <v>72</v>
      </c>
      <c r="C49" s="6" t="s">
        <v>44</v>
      </c>
      <c r="D49" s="6" t="s">
        <v>115</v>
      </c>
      <c r="E49" s="6" t="s">
        <v>46</v>
      </c>
      <c r="F49" s="7" t="n">
        <v>46081</v>
      </c>
      <c r="G49" s="7" t="n">
        <v>46140</v>
      </c>
      <c r="H49" s="6" t="s">
        <v>101</v>
      </c>
      <c r="I49" s="6" t="n">
        <v>1200</v>
      </c>
      <c r="J49" s="6" t="n">
        <v>1116</v>
      </c>
      <c r="K49" s="8" t="n">
        <v>206.5</v>
      </c>
      <c r="L49" s="8" t="n">
        <v>136.3</v>
      </c>
      <c r="M49" s="8" t="n">
        <v>147.2</v>
      </c>
      <c r="N49" s="9" t="n">
        <f aca="false">(K49-M49)/K49</f>
        <v>0.287167070217918</v>
      </c>
      <c r="O49" s="9" t="n">
        <f aca="false">(M49-L49)/L49</f>
        <v>0.0799706529713865</v>
      </c>
      <c r="P49" s="9" t="n">
        <f aca="false">(J49-I49)/I49</f>
        <v>-0.07</v>
      </c>
      <c r="Q49" s="9" t="n">
        <f aca="false">K49/(J49*$V$1/1000)</f>
        <v>1.00019374212923</v>
      </c>
      <c r="R49" s="10" t="s">
        <v>92</v>
      </c>
    </row>
    <row r="50" customFormat="false" ht="15" hidden="false" customHeight="false" outlineLevel="0" collapsed="false">
      <c r="A50" s="6" t="s">
        <v>140</v>
      </c>
      <c r="B50" s="6" t="s">
        <v>77</v>
      </c>
      <c r="C50" s="6" t="s">
        <v>50</v>
      </c>
      <c r="D50" s="6" t="s">
        <v>31</v>
      </c>
      <c r="E50" s="6" t="s">
        <v>52</v>
      </c>
      <c r="F50" s="7" t="n">
        <v>46082</v>
      </c>
      <c r="G50" s="7" t="n">
        <v>46142</v>
      </c>
      <c r="H50" s="6" t="s">
        <v>33</v>
      </c>
      <c r="I50" s="6" t="n">
        <v>1240</v>
      </c>
      <c r="J50" s="6" t="n">
        <v>1531</v>
      </c>
      <c r="K50" s="8" t="n">
        <v>215.6</v>
      </c>
      <c r="L50" s="8" t="n">
        <v>144.5</v>
      </c>
      <c r="M50" s="8" t="n">
        <v>157.5</v>
      </c>
      <c r="N50" s="9" t="n">
        <f aca="false">(K50-M50)/K50</f>
        <v>0.26948051948052</v>
      </c>
      <c r="O50" s="9" t="n">
        <f aca="false">(M50-L50)/L50</f>
        <v>0.0899653979238754</v>
      </c>
      <c r="P50" s="9" t="n">
        <f aca="false">(J50-I50)/I50</f>
        <v>0.234677419354839</v>
      </c>
      <c r="Q50" s="9" t="n">
        <f aca="false">K50/(J50*$V$1/1000)</f>
        <v>0.761205359507123</v>
      </c>
      <c r="R50" s="10" t="s">
        <v>34</v>
      </c>
    </row>
    <row r="51" customFormat="false" ht="15" hidden="false" customHeight="false" outlineLevel="0" collapsed="false">
      <c r="A51" s="6" t="s">
        <v>141</v>
      </c>
      <c r="B51" s="6" t="s">
        <v>82</v>
      </c>
      <c r="C51" s="6" t="s">
        <v>57</v>
      </c>
      <c r="D51" s="6" t="s">
        <v>38</v>
      </c>
      <c r="E51" s="6" t="s">
        <v>59</v>
      </c>
      <c r="F51" s="7" t="n">
        <v>46083</v>
      </c>
      <c r="G51" s="7" t="n">
        <v>46144</v>
      </c>
      <c r="H51" s="6" t="s">
        <v>40</v>
      </c>
      <c r="I51" s="6" t="n">
        <v>1280</v>
      </c>
      <c r="J51" s="6" t="n">
        <v>1331</v>
      </c>
      <c r="K51" s="8" t="n">
        <v>225</v>
      </c>
      <c r="L51" s="8" t="n">
        <v>153</v>
      </c>
      <c r="M51" s="8" t="n">
        <v>168.3</v>
      </c>
      <c r="N51" s="9" t="n">
        <f aca="false">(K51-M51)/K51</f>
        <v>0.252</v>
      </c>
      <c r="O51" s="9" t="n">
        <f aca="false">(M51-L51)/L51</f>
        <v>0.1</v>
      </c>
      <c r="P51" s="9" t="n">
        <f aca="false">(J51-I51)/I51</f>
        <v>0.03984375</v>
      </c>
      <c r="Q51" s="9" t="n">
        <f aca="false">K51/(J51*$V$1/1000)</f>
        <v>0.913761244339757</v>
      </c>
      <c r="R51" s="10" t="s">
        <v>41</v>
      </c>
    </row>
    <row r="52" customFormat="false" ht="23.85" hidden="false" customHeight="false" outlineLevel="0" collapsed="false">
      <c r="A52" s="6" t="s">
        <v>142</v>
      </c>
      <c r="B52" s="6" t="s">
        <v>86</v>
      </c>
      <c r="C52" s="6" t="s">
        <v>30</v>
      </c>
      <c r="D52" s="6" t="s">
        <v>45</v>
      </c>
      <c r="E52" s="6" t="s">
        <v>64</v>
      </c>
      <c r="F52" s="7" t="n">
        <v>46084</v>
      </c>
      <c r="G52" s="7" t="n">
        <v>46146</v>
      </c>
      <c r="H52" s="6" t="s">
        <v>143</v>
      </c>
      <c r="I52" s="6" t="n">
        <v>1320</v>
      </c>
      <c r="J52" s="6" t="n">
        <v>1775</v>
      </c>
      <c r="K52" s="8" t="n">
        <v>234.4</v>
      </c>
      <c r="L52" s="8" t="n">
        <v>161.7</v>
      </c>
      <c r="M52" s="8" t="n">
        <v>179.5</v>
      </c>
      <c r="N52" s="9" t="n">
        <f aca="false">(K52-M52)/K52</f>
        <v>0.234215017064846</v>
      </c>
      <c r="O52" s="9" t="n">
        <f aca="false">(M52-L52)/L52</f>
        <v>0.110080395794682</v>
      </c>
      <c r="P52" s="9" t="n">
        <f aca="false">(J52-I52)/I52</f>
        <v>0.34469696969697</v>
      </c>
      <c r="Q52" s="9" t="n">
        <f aca="false">K52/(J52*$V$1/1000)</f>
        <v>0.713818043395508</v>
      </c>
      <c r="R52" s="10" t="s">
        <v>47</v>
      </c>
    </row>
    <row r="53" customFormat="false" ht="23.85" hidden="false" customHeight="false" outlineLevel="0" collapsed="false">
      <c r="A53" s="6" t="s">
        <v>144</v>
      </c>
      <c r="B53" s="6" t="s">
        <v>90</v>
      </c>
      <c r="C53" s="6" t="s">
        <v>37</v>
      </c>
      <c r="D53" s="6" t="s">
        <v>51</v>
      </c>
      <c r="E53" s="6" t="s">
        <v>69</v>
      </c>
      <c r="F53" s="7" t="n">
        <v>46085</v>
      </c>
      <c r="G53" s="7" t="n">
        <v>46148</v>
      </c>
      <c r="H53" s="6" t="s">
        <v>53</v>
      </c>
      <c r="I53" s="6" t="n">
        <v>1360</v>
      </c>
      <c r="J53" s="6" t="n">
        <v>1563</v>
      </c>
      <c r="K53" s="8" t="n">
        <v>244.1</v>
      </c>
      <c r="L53" s="8" t="n">
        <v>170.9</v>
      </c>
      <c r="M53" s="8" t="n">
        <v>191.4</v>
      </c>
      <c r="N53" s="9" t="n">
        <f aca="false">(K53-M53)/K53</f>
        <v>0.215895124948791</v>
      </c>
      <c r="O53" s="9" t="n">
        <f aca="false">(M53-L53)/L53</f>
        <v>0.119953188999415</v>
      </c>
      <c r="P53" s="9" t="n">
        <f aca="false">(J53-I53)/I53</f>
        <v>0.149264705882353</v>
      </c>
      <c r="Q53" s="9" t="n">
        <f aca="false">K53/(J53*$V$1/1000)</f>
        <v>0.84418391520119</v>
      </c>
      <c r="R53" s="10" t="s">
        <v>54</v>
      </c>
    </row>
    <row r="54" customFormat="false" ht="23.85" hidden="false" customHeight="false" outlineLevel="0" collapsed="false">
      <c r="A54" s="6" t="s">
        <v>145</v>
      </c>
      <c r="B54" s="6" t="s">
        <v>94</v>
      </c>
      <c r="C54" s="6" t="s">
        <v>44</v>
      </c>
      <c r="D54" s="6" t="s">
        <v>104</v>
      </c>
      <c r="E54" s="6" t="s">
        <v>74</v>
      </c>
      <c r="F54" s="7" t="n">
        <v>46086</v>
      </c>
      <c r="G54" s="7" t="n">
        <v>46150</v>
      </c>
      <c r="H54" s="6" t="s">
        <v>33</v>
      </c>
      <c r="I54" s="6" t="n">
        <v>1400</v>
      </c>
      <c r="J54" s="6" t="n">
        <v>1337</v>
      </c>
      <c r="K54" s="8" t="n">
        <v>253.8</v>
      </c>
      <c r="L54" s="8" t="n">
        <v>180.2</v>
      </c>
      <c r="M54" s="8" t="n">
        <v>203.6</v>
      </c>
      <c r="N54" s="9" t="n">
        <f aca="false">(K54-M54)/K54</f>
        <v>0.19779353821907</v>
      </c>
      <c r="O54" s="9" t="n">
        <f aca="false">(M54-L54)/L54</f>
        <v>0.129855715871254</v>
      </c>
      <c r="P54" s="9" t="n">
        <f aca="false">(J54-I54)/I54</f>
        <v>-0.045</v>
      </c>
      <c r="Q54" s="9" t="n">
        <f aca="false">K54/(J54*$V$1/1000)</f>
        <v>1.0260971517516</v>
      </c>
      <c r="R54" s="10" t="s">
        <v>60</v>
      </c>
    </row>
    <row r="55" customFormat="false" ht="15" hidden="false" customHeight="false" outlineLevel="0" collapsed="false">
      <c r="A55" s="6" t="s">
        <v>146</v>
      </c>
      <c r="B55" s="6" t="s">
        <v>96</v>
      </c>
      <c r="C55" s="6" t="s">
        <v>50</v>
      </c>
      <c r="D55" s="6" t="s">
        <v>63</v>
      </c>
      <c r="E55" s="6" t="s">
        <v>79</v>
      </c>
      <c r="F55" s="7" t="n">
        <v>46087</v>
      </c>
      <c r="G55" s="7" t="n">
        <v>46152</v>
      </c>
      <c r="H55" s="6" t="s">
        <v>40</v>
      </c>
      <c r="I55" s="6" t="n">
        <v>1440</v>
      </c>
      <c r="J55" s="6" t="n">
        <v>1814</v>
      </c>
      <c r="K55" s="8" t="n">
        <v>263.7</v>
      </c>
      <c r="L55" s="8" t="n">
        <v>189.9</v>
      </c>
      <c r="M55" s="8" t="n">
        <v>216.5</v>
      </c>
      <c r="N55" s="9" t="n">
        <f aca="false">(K55-M55)/K55</f>
        <v>0.178991277967387</v>
      </c>
      <c r="O55" s="9" t="n">
        <f aca="false">(M55-L55)/L55</f>
        <v>0.140073723012112</v>
      </c>
      <c r="P55" s="9" t="n">
        <f aca="false">(J55-I55)/I55</f>
        <v>0.259722222222222</v>
      </c>
      <c r="Q55" s="9" t="n">
        <f aca="false">K55/(J55*$V$1/1000)</f>
        <v>0.785780267588426</v>
      </c>
      <c r="R55" s="10" t="s">
        <v>65</v>
      </c>
    </row>
    <row r="56" customFormat="false" ht="15" hidden="false" customHeight="false" outlineLevel="0" collapsed="false">
      <c r="A56" s="6" t="s">
        <v>147</v>
      </c>
      <c r="B56" s="6" t="s">
        <v>98</v>
      </c>
      <c r="C56" s="6" t="s">
        <v>57</v>
      </c>
      <c r="D56" s="6" t="s">
        <v>68</v>
      </c>
      <c r="E56" s="6" t="s">
        <v>32</v>
      </c>
      <c r="F56" s="7" t="n">
        <v>46088</v>
      </c>
      <c r="G56" s="7" t="n">
        <v>46154</v>
      </c>
      <c r="H56" s="6" t="s">
        <v>53</v>
      </c>
      <c r="I56" s="6" t="n">
        <v>1480</v>
      </c>
      <c r="J56" s="6" t="n">
        <v>1576</v>
      </c>
      <c r="K56" s="8" t="n">
        <v>273.8</v>
      </c>
      <c r="L56" s="8" t="n">
        <v>199.9</v>
      </c>
      <c r="M56" s="8" t="n">
        <v>229.9</v>
      </c>
      <c r="N56" s="9" t="n">
        <f aca="false">(K56-M56)/K56</f>
        <v>0.160336011687363</v>
      </c>
      <c r="O56" s="9" t="n">
        <f aca="false">(M56-L56)/L56</f>
        <v>0.150075037518759</v>
      </c>
      <c r="P56" s="9" t="n">
        <f aca="false">(J56-I56)/I56</f>
        <v>0.0648648648648649</v>
      </c>
      <c r="Q56" s="9" t="n">
        <f aca="false">K56/(J56*$V$1/1000)</f>
        <v>0.939086294416244</v>
      </c>
      <c r="R56" s="10" t="s">
        <v>70</v>
      </c>
    </row>
    <row r="57" customFormat="false" ht="15" hidden="false" customHeight="false" outlineLevel="0" collapsed="false">
      <c r="A57" s="6" t="s">
        <v>148</v>
      </c>
      <c r="B57" s="6" t="s">
        <v>100</v>
      </c>
      <c r="C57" s="6" t="s">
        <v>30</v>
      </c>
      <c r="D57" s="6" t="s">
        <v>73</v>
      </c>
      <c r="E57" s="6" t="s">
        <v>39</v>
      </c>
      <c r="F57" s="7" t="n">
        <v>46089</v>
      </c>
      <c r="G57" s="7" t="n">
        <v>46156</v>
      </c>
      <c r="H57" s="6" t="s">
        <v>101</v>
      </c>
      <c r="I57" s="6" t="n">
        <v>1520</v>
      </c>
      <c r="J57" s="6" t="n">
        <v>2082</v>
      </c>
      <c r="K57" s="8" t="n">
        <v>284</v>
      </c>
      <c r="L57" s="8" t="n">
        <v>210.2</v>
      </c>
      <c r="M57" s="8" t="n">
        <v>243.8</v>
      </c>
      <c r="N57" s="9" t="n">
        <f aca="false">(K57-M57)/K57</f>
        <v>0.141549295774648</v>
      </c>
      <c r="O57" s="9" t="n">
        <f aca="false">(M57-L57)/L57</f>
        <v>0.159847764034253</v>
      </c>
      <c r="P57" s="9" t="n">
        <f aca="false">(J57-I57)/I57</f>
        <v>0.369736842105263</v>
      </c>
      <c r="Q57" s="9" t="n">
        <f aca="false">K57/(J57*$V$1/1000)</f>
        <v>0.737336760391515</v>
      </c>
      <c r="R57" s="10"/>
    </row>
    <row r="58" customFormat="false" ht="15" hidden="false" customHeight="false" outlineLevel="0" collapsed="false">
      <c r="A58" s="6" t="s">
        <v>149</v>
      </c>
      <c r="B58" s="6" t="s">
        <v>103</v>
      </c>
      <c r="C58" s="6" t="s">
        <v>37</v>
      </c>
      <c r="D58" s="6" t="s">
        <v>78</v>
      </c>
      <c r="E58" s="6" t="s">
        <v>46</v>
      </c>
      <c r="F58" s="7" t="n">
        <v>46090</v>
      </c>
      <c r="G58" s="7" t="n">
        <v>46158</v>
      </c>
      <c r="H58" s="6" t="s">
        <v>33</v>
      </c>
      <c r="I58" s="6" t="n">
        <v>1560</v>
      </c>
      <c r="J58" s="6" t="n">
        <v>1833</v>
      </c>
      <c r="K58" s="8" t="n">
        <v>294.4</v>
      </c>
      <c r="L58" s="8" t="n">
        <v>220.8</v>
      </c>
      <c r="M58" s="8" t="n">
        <v>258.3</v>
      </c>
      <c r="N58" s="9" t="n">
        <f aca="false">(K58-M58)/K58</f>
        <v>0.122622282608696</v>
      </c>
      <c r="O58" s="9" t="n">
        <f aca="false">(M58-L58)/L58</f>
        <v>0.169836956521739</v>
      </c>
      <c r="P58" s="9" t="n">
        <f aca="false">(J58-I58)/I58</f>
        <v>0.175</v>
      </c>
      <c r="Q58" s="9" t="n">
        <f aca="false">K58/(J58*$V$1/1000)</f>
        <v>0.868167676678315</v>
      </c>
      <c r="R58" s="10" t="s">
        <v>80</v>
      </c>
    </row>
    <row r="59" customFormat="false" ht="23.85" hidden="false" customHeight="false" outlineLevel="0" collapsed="false">
      <c r="A59" s="6" t="s">
        <v>150</v>
      </c>
      <c r="B59" s="6" t="s">
        <v>106</v>
      </c>
      <c r="C59" s="6" t="s">
        <v>44</v>
      </c>
      <c r="D59" s="6" t="s">
        <v>83</v>
      </c>
      <c r="E59" s="6" t="s">
        <v>52</v>
      </c>
      <c r="F59" s="7" t="n">
        <v>46091</v>
      </c>
      <c r="G59" s="7" t="n">
        <v>46160</v>
      </c>
      <c r="H59" s="6" t="s">
        <v>40</v>
      </c>
      <c r="I59" s="6" t="n">
        <v>1600</v>
      </c>
      <c r="J59" s="6" t="n">
        <v>1568</v>
      </c>
      <c r="K59" s="8" t="n">
        <v>304.9</v>
      </c>
      <c r="L59" s="8" t="n">
        <v>231.7</v>
      </c>
      <c r="M59" s="8" t="n">
        <v>273.4</v>
      </c>
      <c r="N59" s="9" t="n">
        <f aca="false">(K59-M59)/K59</f>
        <v>0.103312561495572</v>
      </c>
      <c r="O59" s="9" t="n">
        <f aca="false">(M59-L59)/L59</f>
        <v>0.179974104445404</v>
      </c>
      <c r="P59" s="9" t="n">
        <f aca="false">(J59-I59)/I59</f>
        <v>-0.02</v>
      </c>
      <c r="Q59" s="9" t="n">
        <f aca="false">K59/(J59*$V$1/1000)</f>
        <v>1.05108935466078</v>
      </c>
      <c r="R59" s="10" t="s">
        <v>84</v>
      </c>
    </row>
    <row r="60" customFormat="false" ht="15" hidden="false" customHeight="false" outlineLevel="0" collapsed="false">
      <c r="A60" s="6" t="s">
        <v>151</v>
      </c>
      <c r="B60" s="6" t="s">
        <v>108</v>
      </c>
      <c r="C60" s="6" t="s">
        <v>50</v>
      </c>
      <c r="D60" s="6" t="s">
        <v>87</v>
      </c>
      <c r="E60" s="6" t="s">
        <v>59</v>
      </c>
      <c r="F60" s="7" t="n">
        <v>46092</v>
      </c>
      <c r="G60" s="7" t="n">
        <v>46162</v>
      </c>
      <c r="H60" s="6" t="s">
        <v>33</v>
      </c>
      <c r="I60" s="6" t="n">
        <v>1640</v>
      </c>
      <c r="J60" s="6" t="n">
        <v>2107</v>
      </c>
      <c r="K60" s="8" t="n">
        <v>315.5</v>
      </c>
      <c r="L60" s="8" t="n">
        <v>242.9</v>
      </c>
      <c r="M60" s="8" t="n">
        <v>289.1</v>
      </c>
      <c r="N60" s="9" t="n">
        <f aca="false">(K60-M60)/K60</f>
        <v>0.0836767036450079</v>
      </c>
      <c r="O60" s="9" t="n">
        <f aca="false">(M60-L60)/L60</f>
        <v>0.190201729106628</v>
      </c>
      <c r="P60" s="9" t="n">
        <f aca="false">(J60-I60)/I60</f>
        <v>0.284756097560976</v>
      </c>
      <c r="Q60" s="9" t="n">
        <f aca="false">K60/(J60*$V$1/1000)</f>
        <v>0.809399812722072</v>
      </c>
      <c r="R60" s="10" t="s">
        <v>88</v>
      </c>
    </row>
    <row r="61" customFormat="false" ht="23.85" hidden="false" customHeight="false" outlineLevel="0" collapsed="false">
      <c r="A61" s="6" t="s">
        <v>152</v>
      </c>
      <c r="B61" s="6" t="s">
        <v>110</v>
      </c>
      <c r="C61" s="6" t="s">
        <v>57</v>
      </c>
      <c r="D61" s="6" t="s">
        <v>115</v>
      </c>
      <c r="E61" s="6" t="s">
        <v>64</v>
      </c>
      <c r="F61" s="7" t="n">
        <v>46093</v>
      </c>
      <c r="G61" s="7" t="n">
        <v>46164</v>
      </c>
      <c r="H61" s="6" t="s">
        <v>53</v>
      </c>
      <c r="I61" s="6" t="n">
        <v>1680</v>
      </c>
      <c r="J61" s="6" t="n">
        <v>1831</v>
      </c>
      <c r="K61" s="8" t="n">
        <v>326.3</v>
      </c>
      <c r="L61" s="8" t="n">
        <v>202.3</v>
      </c>
      <c r="M61" s="8" t="n">
        <v>242.8</v>
      </c>
      <c r="N61" s="9" t="n">
        <f aca="false">(K61-M61)/K61</f>
        <v>0.255899479007049</v>
      </c>
      <c r="O61" s="9" t="n">
        <f aca="false">(M61-L61)/L61</f>
        <v>0.200197726149283</v>
      </c>
      <c r="P61" s="9" t="n">
        <f aca="false">(J61-I61)/I61</f>
        <v>0.0898809523809524</v>
      </c>
      <c r="Q61" s="9" t="n">
        <f aca="false">K61/(J61*$V$1/1000)</f>
        <v>0.963289887375087</v>
      </c>
      <c r="R61" s="10" t="s">
        <v>92</v>
      </c>
    </row>
    <row r="62" customFormat="false" ht="15" hidden="false" customHeight="false" outlineLevel="0" collapsed="false">
      <c r="A62" s="6" t="s">
        <v>153</v>
      </c>
      <c r="B62" s="6" t="s">
        <v>29</v>
      </c>
      <c r="C62" s="6" t="s">
        <v>30</v>
      </c>
      <c r="D62" s="6" t="s">
        <v>31</v>
      </c>
      <c r="E62" s="6" t="s">
        <v>69</v>
      </c>
      <c r="F62" s="7" t="n">
        <v>46094</v>
      </c>
      <c r="G62" s="7" t="n">
        <v>46166</v>
      </c>
      <c r="H62" s="6" t="s">
        <v>33</v>
      </c>
      <c r="I62" s="6" t="n">
        <v>1720</v>
      </c>
      <c r="J62" s="6" t="n">
        <v>2399</v>
      </c>
      <c r="K62" s="8" t="n">
        <v>337.3</v>
      </c>
      <c r="L62" s="8" t="n">
        <v>212.5</v>
      </c>
      <c r="M62" s="8" t="n">
        <v>257.1</v>
      </c>
      <c r="N62" s="9" t="n">
        <f aca="false">(K62-M62)/K62</f>
        <v>0.23777053068485</v>
      </c>
      <c r="O62" s="9" t="n">
        <f aca="false">(M62-L62)/L62</f>
        <v>0.209882352941177</v>
      </c>
      <c r="P62" s="9" t="n">
        <f aca="false">(J62-I62)/I62</f>
        <v>0.394767441860465</v>
      </c>
      <c r="Q62" s="9" t="n">
        <f aca="false">K62/(J62*$V$1/1000)</f>
        <v>0.760001351914649</v>
      </c>
      <c r="R62" s="10" t="s">
        <v>34</v>
      </c>
    </row>
    <row r="63" customFormat="false" ht="15" hidden="false" customHeight="false" outlineLevel="0" collapsed="false">
      <c r="A63" s="6" t="s">
        <v>154</v>
      </c>
      <c r="B63" s="6" t="s">
        <v>36</v>
      </c>
      <c r="C63" s="6" t="s">
        <v>37</v>
      </c>
      <c r="D63" s="6" t="s">
        <v>38</v>
      </c>
      <c r="E63" s="6" t="s">
        <v>74</v>
      </c>
      <c r="F63" s="7" t="n">
        <v>46095</v>
      </c>
      <c r="G63" s="7" t="n">
        <v>46168</v>
      </c>
      <c r="H63" s="6" t="s">
        <v>40</v>
      </c>
      <c r="I63" s="6" t="n">
        <v>1760</v>
      </c>
      <c r="J63" s="6" t="n">
        <v>2112</v>
      </c>
      <c r="K63" s="8" t="n">
        <v>348.4</v>
      </c>
      <c r="L63" s="8" t="n">
        <v>223</v>
      </c>
      <c r="M63" s="8" t="n">
        <v>272.1</v>
      </c>
      <c r="N63" s="9" t="n">
        <f aca="false">(K63-M63)/K63</f>
        <v>0.219001148105626</v>
      </c>
      <c r="O63" s="9" t="n">
        <f aca="false">(M63-L63)/L63</f>
        <v>0.22017937219731</v>
      </c>
      <c r="P63" s="9" t="n">
        <f aca="false">(J63-I63)/I63</f>
        <v>0.2</v>
      </c>
      <c r="Q63" s="9" t="n">
        <f aca="false">K63/(J63*$V$1/1000)</f>
        <v>0.891687141687142</v>
      </c>
      <c r="R63" s="10" t="s">
        <v>41</v>
      </c>
    </row>
    <row r="64" customFormat="false" ht="23.85" hidden="false" customHeight="false" outlineLevel="0" collapsed="false">
      <c r="A64" s="6" t="s">
        <v>155</v>
      </c>
      <c r="B64" s="6" t="s">
        <v>43</v>
      </c>
      <c r="C64" s="6" t="s">
        <v>44</v>
      </c>
      <c r="D64" s="6" t="s">
        <v>45</v>
      </c>
      <c r="E64" s="6" t="s">
        <v>79</v>
      </c>
      <c r="F64" s="7" t="n">
        <v>46096</v>
      </c>
      <c r="G64" s="7" t="n">
        <v>46170</v>
      </c>
      <c r="H64" s="6" t="s">
        <v>53</v>
      </c>
      <c r="I64" s="6" t="n">
        <v>1800</v>
      </c>
      <c r="J64" s="6" t="n">
        <v>1809</v>
      </c>
      <c r="K64" s="8" t="n">
        <v>359.6</v>
      </c>
      <c r="L64" s="8" t="n">
        <v>233.7</v>
      </c>
      <c r="M64" s="8" t="n">
        <v>287.5</v>
      </c>
      <c r="N64" s="9" t="n">
        <f aca="false">(K64-M64)/K64</f>
        <v>0.200500556173526</v>
      </c>
      <c r="O64" s="9" t="n">
        <f aca="false">(M64-L64)/L64</f>
        <v>0.230209670517758</v>
      </c>
      <c r="P64" s="9" t="n">
        <f aca="false">(J64-I64)/I64</f>
        <v>0.005</v>
      </c>
      <c r="Q64" s="9" t="n">
        <f aca="false">K64/(J64*$V$1/1000)</f>
        <v>1.07450734316406</v>
      </c>
      <c r="R64" s="10" t="s">
        <v>47</v>
      </c>
    </row>
    <row r="65" customFormat="false" ht="23.85" hidden="false" customHeight="false" outlineLevel="0" collapsed="false">
      <c r="A65" s="6" t="s">
        <v>156</v>
      </c>
      <c r="B65" s="6" t="s">
        <v>49</v>
      </c>
      <c r="C65" s="6" t="s">
        <v>50</v>
      </c>
      <c r="D65" s="6" t="s">
        <v>51</v>
      </c>
      <c r="E65" s="6" t="s">
        <v>32</v>
      </c>
      <c r="F65" s="7" t="n">
        <v>46097</v>
      </c>
      <c r="G65" s="7" t="n">
        <v>46172</v>
      </c>
      <c r="H65" s="6" t="s">
        <v>101</v>
      </c>
      <c r="I65" s="6" t="n">
        <v>1840</v>
      </c>
      <c r="J65" s="6" t="n">
        <v>2410</v>
      </c>
      <c r="K65" s="8" t="n">
        <v>371</v>
      </c>
      <c r="L65" s="8" t="n">
        <v>244.9</v>
      </c>
      <c r="M65" s="8" t="n">
        <v>303.7</v>
      </c>
      <c r="N65" s="9" t="n">
        <f aca="false">(K65-M65)/K65</f>
        <v>0.181401617250674</v>
      </c>
      <c r="O65" s="9" t="n">
        <f aca="false">(M65-L65)/L65</f>
        <v>0.24009799918334</v>
      </c>
      <c r="P65" s="9" t="n">
        <f aca="false">(J65-I65)/I65</f>
        <v>0.309782608695652</v>
      </c>
      <c r="Q65" s="9" t="n">
        <f aca="false">K65/(J65*$V$1/1000)</f>
        <v>0.832118425479421</v>
      </c>
      <c r="R65" s="10" t="s">
        <v>54</v>
      </c>
    </row>
  </sheetData>
  <autoFilter ref="A1:R6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0326904AAC644E89CED424664EFAEF" ma:contentTypeVersion="14" ma:contentTypeDescription="Create a new document." ma:contentTypeScope="" ma:versionID="afc3379657403d294f837d6b0dc30149">
  <xsd:schema xmlns:xsd="http://www.w3.org/2001/XMLSchema" xmlns:xs="http://www.w3.org/2001/XMLSchema" xmlns:p="http://schemas.microsoft.com/office/2006/metadata/properties" xmlns:ns1="http://schemas.microsoft.com/sharepoint/v3" xmlns:ns2="174c0fc0-5a0c-4954-aed3-4ba8955f5901" xmlns:ns3="e35df2f5-7204-4978-b60f-e495500b7ed4" targetNamespace="http://schemas.microsoft.com/office/2006/metadata/properties" ma:root="true" ma:fieldsID="6de32cd7e5dc08000868b434c7780583" ns1:_="" ns2:_="" ns3:_="">
    <xsd:import namespace="http://schemas.microsoft.com/sharepoint/v3"/>
    <xsd:import namespace="174c0fc0-5a0c-4954-aed3-4ba8955f5901"/>
    <xsd:import namespace="e35df2f5-7204-4978-b60f-e495500b7ed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4c0fc0-5a0c-4954-aed3-4ba8955f59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872cdc57-bbee-4921-aa63-a9d3fb79acf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5df2f5-7204-4978-b60f-e495500b7ed4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ef8b6b2a-1fec-4e8b-a1cc-87a5d25d4fd1}" ma:internalName="TaxCatchAll" ma:showField="CatchAllData" ma:web="e35df2f5-7204-4978-b60f-e495500b7ed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174c0fc0-5a0c-4954-aed3-4ba8955f5901">
      <Terms xmlns="http://schemas.microsoft.com/office/infopath/2007/PartnerControls"/>
    </lcf76f155ced4ddcb4097134ff3c332f>
    <_ip_UnifiedCompliancePolicyProperties xmlns="http://schemas.microsoft.com/sharepoint/v3" xsi:nil="true"/>
    <TaxCatchAll xmlns="e35df2f5-7204-4978-b60f-e495500b7ed4" xsi:nil="true"/>
  </documentManagement>
</p:properties>
</file>

<file path=customXml/itemProps1.xml><?xml version="1.0" encoding="utf-8"?>
<ds:datastoreItem xmlns:ds="http://schemas.openxmlformats.org/officeDocument/2006/customXml" ds:itemID="{4C7F3F33-35ED-4C1E-BCE8-09FB1A3F127A}"/>
</file>

<file path=customXml/itemProps2.xml><?xml version="1.0" encoding="utf-8"?>
<ds:datastoreItem xmlns:ds="http://schemas.openxmlformats.org/officeDocument/2006/customXml" ds:itemID="{07C7F354-379D-43C7-B9AE-D098AFB7350E}"/>
</file>

<file path=customXml/itemProps3.xml><?xml version="1.0" encoding="utf-8"?>
<ds:datastoreItem xmlns:ds="http://schemas.openxmlformats.org/officeDocument/2006/customXml" ds:itemID="{919DC5E1-0127-4A70-A7FB-EF3A2D2C8572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0</cp:revision>
  <dcterms:created xsi:type="dcterms:W3CDTF">2026-06-19T20:28:36Z</dcterms:created>
  <dcterms:modified xsi:type="dcterms:W3CDTF">2026-06-19T20:28:36Z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0x0101008B0326904AAC644E89CED424664EFAEF</vt:lpwstr>
  </property>
  <property fmtid="{D5CDD505-2E9C-101B-9397-08002B2CF9AE}" pid="3" name="Order">
    <vt:r8>909500</vt:r8>
  </property>
  <property fmtid="{D5CDD505-2E9C-101B-9397-08002B2CF9AE}" pid="4" name="TriggerFlowInfo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_ExtendedDescription">
    <vt:lpwstr/>
  </property>
  <property fmtid="{D5CDD505-2E9C-101B-9397-08002B2CF9AE}" pid="9" name="MediaServiceImageTags">
    <vt:lpwstr/>
  </property>
</Properties>
</file>